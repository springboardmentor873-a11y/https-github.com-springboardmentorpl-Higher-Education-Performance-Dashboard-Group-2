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7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3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11.xml" ContentType="application/vnd.openxmlformats-officedocument.spreadsheetml.table+xml"/>
  <Override PartName="/xl/tables/table3.xml" ContentType="application/vnd.openxmlformats-officedocument.spreadsheetml.table+xml"/>
  <Override PartName="/xl/tables/table14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 Summary" sheetId="1" state="visible" r:id="rId3"/>
    <sheet name="Test Cases" sheetId="2" state="visible" r:id="rId4"/>
    <sheet name="Requirements Traceability" sheetId="3" state="visible" r:id="rId5"/>
    <sheet name="Data Quality" sheetId="4" state="visible" r:id="rId6"/>
    <sheet name="Dashboard Functional" sheetId="5" state="visible" r:id="rId7"/>
    <sheet name="UAT Cases" sheetId="6" state="visible" r:id="rId8"/>
    <sheet name="KPI Reconciliation" sheetId="7" state="visible" r:id="rId9"/>
    <sheet name="Dashboard Inventory" sheetId="8" state="visible" r:id="rId10"/>
    <sheet name="Defect Log" sheetId="9" state="visible" r:id="rId11"/>
    <sheet name="Risk Register" sheetId="10" state="visible" r:id="rId12"/>
    <sheet name="Release Checklist" sheetId="11" state="visible" r:id="rId13"/>
    <sheet name="Data Dictionary" sheetId="12" state="visible" r:id="rId14"/>
    <sheet name="Evidence Index" sheetId="13" state="visible" r:id="rId15"/>
    <sheet name="UAT Sign-Off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tc={81077D43-4090-413C-9900-04055B57C3C0}</author>
    <author>tc={F1FBB247-2142-4648-83C7-C480919BE2C0}</author>
  </authors>
  <commentList>
    <comment ref="A5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MODULE_07_QA_TESTING/evidence/module7_validation.json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4</xdr:row>
                <xdr:rowOff>2</xdr:rowOff>
              </xdr:from>
              <xdr:to>
                <xdr:col>2</xdr:col>
                <xdr:colOff>15</xdr:colOff>
                <xdr:row>8</xdr:row>
                <xdr:rowOff>2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Release is approved only when the formula-driven fail count is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4</xdr:row>
                <xdr:rowOff>2</xdr:rowOff>
              </xdr:from>
              <xdr:to>
                <xdr:col>10</xdr:col>
                <xdr:colOff>15</xdr:colOff>
                <xdr:row>8</xdr:row>
                <xdr:rowOff>2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tc={10C6F945-B92C-443C-8F69-CC227D417FD4}</author>
  </authors>
  <commentList>
    <comment ref="A1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source does not include publication totals. This limitation must remain in every final report.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13</xdr:row>
                <xdr:rowOff>2</xdr:rowOff>
              </xdr:from>
              <xdr:to>
                <xdr:col>2</xdr:col>
                <xdr:colOff>15</xdr:colOff>
                <xdr:row>17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<sst xmlns="http://schemas.openxmlformats.org/spreadsheetml/2006/main" count="6958" uniqueCount="1615">
  <si>
    <t xml:space="preserve">EduVision 2026 - Module 7 QA Master</t>
  </si>
  <si>
    <t xml:space="preserve">Milestone 4 quality evidence for the approved five-dashboard Power BI release | Generated 1 September 2026</t>
  </si>
  <si>
    <t xml:space="preserve">TOTAL TESTS</t>
  </si>
  <si>
    <t xml:space="preserve">PASSED</t>
  </si>
  <si>
    <t xml:space="preserve">FAILED</t>
  </si>
  <si>
    <t xml:space="preserve">PASS RATE</t>
  </si>
  <si>
    <t xml:space="preserve">RELEASE STATUS</t>
  </si>
  <si>
    <t xml:space="preserve">APPROVED RELEASE PROFILE</t>
  </si>
  <si>
    <t xml:space="preserve">Universities</t>
  </si>
  <si>
    <t xml:space="preserve">Countries</t>
  </si>
  <si>
    <t xml:space="preserve">Regions</t>
  </si>
  <si>
    <t xml:space="preserve">Reporting Year</t>
  </si>
  <si>
    <t xml:space="preserve">KPI Accuracy</t>
  </si>
  <si>
    <t xml:space="preserve">Open Critical Defects</t>
  </si>
  <si>
    <t xml:space="preserve">Dashboard Pages</t>
  </si>
  <si>
    <t xml:space="preserve">Report Visuals</t>
  </si>
  <si>
    <t xml:space="preserve">Data Visuals</t>
  </si>
  <si>
    <t xml:space="preserve">DAX Measures</t>
  </si>
  <si>
    <t xml:space="preserve">Active Bindings</t>
  </si>
  <si>
    <t xml:space="preserve">Inactive Bindings</t>
  </si>
  <si>
    <t xml:space="preserve">KPI Cards</t>
  </si>
  <si>
    <t xml:space="preserve">Slicers</t>
  </si>
  <si>
    <t xml:space="preserve">Navigators</t>
  </si>
  <si>
    <t xml:space="preserve">Standard Maps</t>
  </si>
  <si>
    <t xml:space="preserve">Native Visual Types</t>
  </si>
  <si>
    <t xml:space="preserve">Release ZIP MB</t>
  </si>
  <si>
    <t xml:space="preserve">Source Completeness</t>
  </si>
  <si>
    <t xml:space="preserve">Cleaned Missingness</t>
  </si>
  <si>
    <t xml:space="preserve">Duplicate Keys</t>
  </si>
  <si>
    <t xml:space="preserve">Machine Path</t>
  </si>
  <si>
    <t xml:space="preserve">None</t>
  </si>
  <si>
    <t xml:space="preserve">Embedded Import</t>
  </si>
  <si>
    <t xml:space="preserve">Yes</t>
  </si>
  <si>
    <t xml:space="preserve">Sign-in-gated Visuals</t>
  </si>
  <si>
    <t xml:space="preserve">Test Category</t>
  </si>
  <si>
    <t xml:space="preserve">Total</t>
  </si>
  <si>
    <t xml:space="preserve">Passed</t>
  </si>
  <si>
    <t xml:space="preserve">Failed</t>
  </si>
  <si>
    <t xml:space="preserve">Pass Rate</t>
  </si>
  <si>
    <t xml:space="preserve">Field binding</t>
  </si>
  <si>
    <t xml:space="preserve">Dashboard page contract</t>
  </si>
  <si>
    <t xml:space="preserve">Map validation</t>
  </si>
  <si>
    <t xml:space="preserve">Data quality</t>
  </si>
  <si>
    <t xml:space="preserve">KPI reconciliation</t>
  </si>
  <si>
    <t xml:space="preserve">User acceptance testing</t>
  </si>
  <si>
    <t xml:space="preserve">Final handover</t>
  </si>
  <si>
    <t xml:space="preserve">Packaging</t>
  </si>
  <si>
    <t xml:space="preserve">Dashboard integration</t>
  </si>
  <si>
    <t xml:space="preserve">Semantic model</t>
  </si>
  <si>
    <t xml:space="preserve">Documentation</t>
  </si>
  <si>
    <t xml:space="preserve">Dashboard compatibility</t>
  </si>
  <si>
    <t xml:space="preserve">Release integrity</t>
  </si>
  <si>
    <t xml:space="preserve">Report definition</t>
  </si>
  <si>
    <t xml:space="preserve">Detailed Test Case Register</t>
  </si>
  <si>
    <t xml:space="preserve">300 automated and corroborated UAT checks; every expected and actual result is retained for audit.</t>
  </si>
  <si>
    <t xml:space="preserve">Test ID</t>
  </si>
  <si>
    <t xml:space="preserve">Requirement ID</t>
  </si>
  <si>
    <t xml:space="preserve">Module</t>
  </si>
  <si>
    <t xml:space="preserve">Category</t>
  </si>
  <si>
    <t xml:space="preserve">Test Scenario</t>
  </si>
  <si>
    <t xml:space="preserve">Expected Result</t>
  </si>
  <si>
    <t xml:space="preserve">Actual Result</t>
  </si>
  <si>
    <t xml:space="preserve">Execution Method</t>
  </si>
  <si>
    <t xml:space="preserve">Priority</t>
  </si>
  <si>
    <t xml:space="preserve">Status</t>
  </si>
  <si>
    <t xml:space="preserve">Evidence</t>
  </si>
  <si>
    <t xml:space="preserve">M4-TC-001</t>
  </si>
  <si>
    <t xml:space="preserve">M7-P01</t>
  </si>
  <si>
    <t xml:space="preserve">Module 7</t>
  </si>
  <si>
    <t xml:space="preserve">Approved dashboard ZIP exists</t>
  </si>
  <si>
    <t xml:space="preserve">present</t>
  </si>
  <si>
    <t xml:space="preserve">True</t>
  </si>
  <si>
    <t xml:space="preserve">Automated</t>
  </si>
  <si>
    <t xml:space="preserve">Critical</t>
  </si>
  <si>
    <t xml:space="preserve">PASS</t>
  </si>
  <si>
    <t xml:space="preserve">EduVision_PowerBI_Modules_4_to_6_Advanced_5_Dashboards_Standard_Maps_No_SignIn.zip</t>
  </si>
  <si>
    <t xml:space="preserve">M4-TC-002</t>
  </si>
  <si>
    <t xml:space="preserve">M7-P02</t>
  </si>
  <si>
    <t xml:space="preserve">Approved dashboard ZIP checksum</t>
  </si>
  <si>
    <t xml:space="preserve">98dd2ed7bdae98fabe661d68af729c3cdb8c3f1d5ae097d94492813ba1593a12</t>
  </si>
  <si>
    <t xml:space="preserve">SHA-256</t>
  </si>
  <si>
    <t xml:space="preserve">M4-TC-003</t>
  </si>
  <si>
    <t xml:space="preserve">M7-P03</t>
  </si>
  <si>
    <t xml:space="preserve">ZIP compression integrity</t>
  </si>
  <si>
    <t xml:space="preserve">no corrupt member</t>
  </si>
  <si>
    <t xml:space="preserve">none</t>
  </si>
  <si>
    <t xml:space="preserve">ZipFile.testzip</t>
  </si>
  <si>
    <t xml:space="preserve">M4-TC-004</t>
  </si>
  <si>
    <t xml:space="preserve">M7-P04</t>
  </si>
  <si>
    <t xml:space="preserve">PBIP entry present in archive</t>
  </si>
  <si>
    <t xml:space="preserve">EduVision.pbip</t>
  </si>
  <si>
    <t xml:space="preserve">ZIP directory</t>
  </si>
  <si>
    <t xml:space="preserve">M4-TC-005</t>
  </si>
  <si>
    <t xml:space="preserve">M7-P05</t>
  </si>
  <si>
    <t xml:space="preserve">Semantic model present in archive</t>
  </si>
  <si>
    <t xml:space="preserve">Universities.tmdl</t>
  </si>
  <si>
    <t xml:space="preserve">M4-TC-006</t>
  </si>
  <si>
    <t xml:space="preserve">M7-P06</t>
  </si>
  <si>
    <t xml:space="preserve">Report definition present in archive</t>
  </si>
  <si>
    <t xml:space="preserve">pages.json</t>
  </si>
  <si>
    <t xml:space="preserve">M4-TC-007</t>
  </si>
  <si>
    <t xml:space="preserve">M7-P07</t>
  </si>
  <si>
    <t xml:space="preserve">Source workbook included for audit</t>
  </si>
  <si>
    <t xml:space="preserve">one Excel workbook</t>
  </si>
  <si>
    <t xml:space="preserve">1</t>
  </si>
  <si>
    <t xml:space="preserve">High</t>
  </si>
  <si>
    <t xml:space="preserve">M4-TC-008</t>
  </si>
  <si>
    <t xml:space="preserve">M7-P08</t>
  </si>
  <si>
    <t xml:space="preserve">Storyboard included</t>
  </si>
  <si>
    <t xml:space="preserve">dashboard_storyboard.pdf</t>
  </si>
  <si>
    <t xml:space="preserve">M4-TC-009</t>
  </si>
  <si>
    <t xml:space="preserve">M7-P09</t>
  </si>
  <si>
    <t xml:space="preserve">Beginner opening script included</t>
  </si>
  <si>
    <t xml:space="preserve">START_HERE_OPEN_EDUVISION.cmd</t>
  </si>
  <si>
    <t xml:space="preserve">M4-TC-010</t>
  </si>
  <si>
    <t xml:space="preserve">M7-Q01</t>
  </si>
  <si>
    <t xml:space="preserve">Raw university records</t>
  </si>
  <si>
    <t xml:space="preserve">1120</t>
  </si>
  <si>
    <t xml:space="preserve">REFERENCE_DATA CSV and audit JSON</t>
  </si>
  <si>
    <t xml:space="preserve">M4-TC-011</t>
  </si>
  <si>
    <t xml:space="preserve">M7-Q02</t>
  </si>
  <si>
    <t xml:space="preserve">Raw source fields</t>
  </si>
  <si>
    <t xml:space="preserve">42</t>
  </si>
  <si>
    <t xml:space="preserve">M4-TC-012</t>
  </si>
  <si>
    <t xml:space="preserve">M7-Q03</t>
  </si>
  <si>
    <t xml:space="preserve">Country coverage</t>
  </si>
  <si>
    <t xml:space="preserve">93</t>
  </si>
  <si>
    <t xml:space="preserve">M4-TC-013</t>
  </si>
  <si>
    <t xml:space="preserve">M7-Q04</t>
  </si>
  <si>
    <t xml:space="preserve">Regional coverage</t>
  </si>
  <si>
    <t xml:space="preserve">5</t>
  </si>
  <si>
    <t xml:space="preserve">M4-TC-014</t>
  </si>
  <si>
    <t xml:space="preserve">M7-Q05</t>
  </si>
  <si>
    <t xml:space="preserve">Reporting-year scope</t>
  </si>
  <si>
    <t xml:space="preserve">2026 only</t>
  </si>
  <si>
    <t xml:space="preserve">[2026]</t>
  </si>
  <si>
    <t xml:space="preserve">M4-TC-015</t>
  </si>
  <si>
    <t xml:space="preserve">M7-Q06</t>
  </si>
  <si>
    <t xml:space="preserve">Source completeness</t>
  </si>
  <si>
    <t xml:space="preserve">&gt;95%</t>
  </si>
  <si>
    <t xml:space="preserve">98.176%</t>
  </si>
  <si>
    <t xml:space="preserve">M4-TC-016</t>
  </si>
  <si>
    <t xml:space="preserve">M7-Q07</t>
  </si>
  <si>
    <t xml:space="preserve">Raw-audit completeness reconciliation</t>
  </si>
  <si>
    <t xml:space="preserve">98.176</t>
  </si>
  <si>
    <t xml:space="preserve">M4-TC-017</t>
  </si>
  <si>
    <t xml:space="preserve">M7-Q08</t>
  </si>
  <si>
    <t xml:space="preserve">Cleaned record preservation</t>
  </si>
  <si>
    <t xml:space="preserve">M4-TC-018</t>
  </si>
  <si>
    <t xml:space="preserve">M7-Q09</t>
  </si>
  <si>
    <t xml:space="preserve">Cleaned field count</t>
  </si>
  <si>
    <t xml:space="preserve">44</t>
  </si>
  <si>
    <t xml:space="preserve">M4-TC-019</t>
  </si>
  <si>
    <t xml:space="preserve">M7-Q10</t>
  </si>
  <si>
    <t xml:space="preserve">Post-cleaning missingness</t>
  </si>
  <si>
    <t xml:space="preserve">&lt;2%</t>
  </si>
  <si>
    <t xml:space="preserve">1.5686%</t>
  </si>
  <si>
    <t xml:space="preserve">M4-TC-020</t>
  </si>
  <si>
    <t xml:space="preserve">M7-Q11</t>
  </si>
  <si>
    <t xml:space="preserve">Cleaning-audit reconciliation</t>
  </si>
  <si>
    <t xml:space="preserve">1.5686</t>
  </si>
  <si>
    <t xml:space="preserve">M4-TC-021</t>
  </si>
  <si>
    <t xml:space="preserve">M7-Q12</t>
  </si>
  <si>
    <t xml:space="preserve">Duplicate institution-country-year keys</t>
  </si>
  <si>
    <t xml:space="preserve">0</t>
  </si>
  <si>
    <t xml:space="preserve">M4-TC-022</t>
  </si>
  <si>
    <t xml:space="preserve">M7-Q13</t>
  </si>
  <si>
    <t xml:space="preserve">Final record count</t>
  </si>
  <si>
    <t xml:space="preserve">M4-TC-023</t>
  </si>
  <si>
    <t xml:space="preserve">M7-Q14</t>
  </si>
  <si>
    <t xml:space="preserve">Final field count</t>
  </si>
  <si>
    <t xml:space="preserve">50</t>
  </si>
  <si>
    <t xml:space="preserve">M4-TC-024</t>
  </si>
  <si>
    <t xml:space="preserve">M7-Q15</t>
  </si>
  <si>
    <t xml:space="preserve">Required KPI fields</t>
  </si>
  <si>
    <t xml:space="preserve">6</t>
  </si>
  <si>
    <t xml:space="preserve">M4-TC-025</t>
  </si>
  <si>
    <t xml:space="preserve">M7-Q16</t>
  </si>
  <si>
    <t xml:space="preserve">KPI missing cells</t>
  </si>
  <si>
    <t xml:space="preserve">M4-TC-026</t>
  </si>
  <si>
    <t xml:space="preserve">M7-Q17</t>
  </si>
  <si>
    <t xml:space="preserve">Normalized QS score range</t>
  </si>
  <si>
    <t xml:space="preserve">0-100</t>
  </si>
  <si>
    <t xml:space="preserve">0.00-100.00</t>
  </si>
  <si>
    <t xml:space="preserve">M4-TC-027</t>
  </si>
  <si>
    <t xml:space="preserve">M7-Q18</t>
  </si>
  <si>
    <t xml:space="preserve">Normalized THE score range</t>
  </si>
  <si>
    <t xml:space="preserve">M4-TC-028</t>
  </si>
  <si>
    <t xml:space="preserve">M7-Q19</t>
  </si>
  <si>
    <t xml:space="preserve">International-student KPI range</t>
  </si>
  <si>
    <t xml:space="preserve">0.0-81.0</t>
  </si>
  <si>
    <t xml:space="preserve">M4-TC-029</t>
  </si>
  <si>
    <t xml:space="preserve">M7-Q20</t>
  </si>
  <si>
    <t xml:space="preserve">No fabricated publication totals</t>
  </si>
  <si>
    <t xml:space="preserve">no publication_count field</t>
  </si>
  <si>
    <t xml:space="preserve">[]</t>
  </si>
  <si>
    <t xml:space="preserve">M4-TC-030</t>
  </si>
  <si>
    <t xml:space="preserve">M7-K01</t>
  </si>
  <si>
    <t xml:space="preserve">KPI_Global_Ranking_Score: all rows reproduce</t>
  </si>
  <si>
    <t xml:space="preserve">1,120/1,120</t>
  </si>
  <si>
    <t xml:space="preserve">1120/1120</t>
  </si>
  <si>
    <t xml:space="preserve">calculate_kpis versus university_final_dataset.csv</t>
  </si>
  <si>
    <t xml:space="preserve">M4-TC-031</t>
  </si>
  <si>
    <t xml:space="preserve">M7-K02</t>
  </si>
  <si>
    <t xml:space="preserve">KPI_Global_Ranking_Score: maximum absolute difference</t>
  </si>
  <si>
    <t xml:space="preserve">0.0</t>
  </si>
  <si>
    <t xml:space="preserve">1.4210854715202004e-14</t>
  </si>
  <si>
    <t xml:space="preserve">full-dataset vector comparison</t>
  </si>
  <si>
    <t xml:space="preserve">M4-TC-032</t>
  </si>
  <si>
    <t xml:space="preserve">M7-K03</t>
  </si>
  <si>
    <t xml:space="preserve">KPI_Global_Ranking_Score: audit status</t>
  </si>
  <si>
    <t xml:space="preserve">kpi_validation.json</t>
  </si>
  <si>
    <t xml:space="preserve">M4-TC-033</t>
  </si>
  <si>
    <t xml:space="preserve">KPI_Research_Impact_Score: all rows reproduce</t>
  </si>
  <si>
    <t xml:space="preserve">M4-TC-034</t>
  </si>
  <si>
    <t xml:space="preserve">KPI_Research_Impact_Score: maximum absolute difference</t>
  </si>
  <si>
    <t xml:space="preserve">M4-TC-035</t>
  </si>
  <si>
    <t xml:space="preserve">KPI_Research_Impact_Score: audit status</t>
  </si>
  <si>
    <t xml:space="preserve">M4-TC-036</t>
  </si>
  <si>
    <t xml:space="preserve">KPI_Faculty_to_Student_Ratio: all rows reproduce</t>
  </si>
  <si>
    <t xml:space="preserve">M4-TC-037</t>
  </si>
  <si>
    <t xml:space="preserve">KPI_Faculty_to_Student_Ratio: maximum absolute difference</t>
  </si>
  <si>
    <t xml:space="preserve">9.71445146547012e-17</t>
  </si>
  <si>
    <t xml:space="preserve">M4-TC-038</t>
  </si>
  <si>
    <t xml:space="preserve">KPI_Faculty_to_Student_Ratio: audit status</t>
  </si>
  <si>
    <t xml:space="preserve">M4-TC-039</t>
  </si>
  <si>
    <t xml:space="preserve">KPI_International_Student_Percentage: all rows reproduce</t>
  </si>
  <si>
    <t xml:space="preserve">M4-TC-040</t>
  </si>
  <si>
    <t xml:space="preserve">KPI_International_Student_Percentage: maximum absolute difference</t>
  </si>
  <si>
    <t xml:space="preserve">3.552713678800501e-15</t>
  </si>
  <si>
    <t xml:space="preserve">M4-TC-041</t>
  </si>
  <si>
    <t xml:space="preserve">KPI_International_Student_Percentage: audit status</t>
  </si>
  <si>
    <t xml:space="preserve">M4-TC-042</t>
  </si>
  <si>
    <t xml:space="preserve">KPI_Academic_Reputation_Score: all rows reproduce</t>
  </si>
  <si>
    <t xml:space="preserve">M4-TC-043</t>
  </si>
  <si>
    <t xml:space="preserve">KPI_Academic_Reputation_Score: maximum absolute difference</t>
  </si>
  <si>
    <t xml:space="preserve">M4-TC-044</t>
  </si>
  <si>
    <t xml:space="preserve">KPI_Academic_Reputation_Score: audit status</t>
  </si>
  <si>
    <t xml:space="preserve">M4-TC-045</t>
  </si>
  <si>
    <t xml:space="preserve">KPI_Research_Productivity_Index: all rows reproduce</t>
  </si>
  <si>
    <t xml:space="preserve">M4-TC-046</t>
  </si>
  <si>
    <t xml:space="preserve">KPI_Research_Productivity_Index: maximum absolute difference</t>
  </si>
  <si>
    <t xml:space="preserve">M4-TC-047</t>
  </si>
  <si>
    <t xml:space="preserve">KPI_Research_Productivity_Index: audit status</t>
  </si>
  <si>
    <t xml:space="preserve">M4-TC-048</t>
  </si>
  <si>
    <t xml:space="preserve">M7-K04</t>
  </si>
  <si>
    <t xml:space="preserve">Overall KPI reference accuracy</t>
  </si>
  <si>
    <t xml:space="preserve">100%</t>
  </si>
  <si>
    <t xml:space="preserve">100.0%</t>
  </si>
  <si>
    <t xml:space="preserve">M4-TC-049</t>
  </si>
  <si>
    <t xml:space="preserve">M7-K05</t>
  </si>
  <si>
    <t xml:space="preserve">Every KPI covers complete population</t>
  </si>
  <si>
    <t xml:space="preserve">1,120 rows per KPI</t>
  </si>
  <si>
    <t xml:space="preserve">[1120, 1120, 1120, 1120, 1120, 1120]</t>
  </si>
  <si>
    <t xml:space="preserve">full-dataset validation</t>
  </si>
  <si>
    <t xml:space="preserve">M4-TC-050</t>
  </si>
  <si>
    <t xml:space="preserve">M7-R01</t>
  </si>
  <si>
    <t xml:space="preserve">Power BI project entry file exists</t>
  </si>
  <si>
    <t xml:space="preserve">EduVision.pbip present</t>
  </si>
  <si>
    <t xml:space="preserve">Approved release ZIP</t>
  </si>
  <si>
    <t xml:space="preserve">M4-TC-051</t>
  </si>
  <si>
    <t xml:space="preserve">M7-R02</t>
  </si>
  <si>
    <t xml:space="preserve">Expected page count</t>
  </si>
  <si>
    <t xml:space="preserve">M4-TC-052</t>
  </si>
  <si>
    <t xml:space="preserve">M7-D01</t>
  </si>
  <si>
    <t xml:space="preserve">University Overview: correct order</t>
  </si>
  <si>
    <t xml:space="preserve">M4-TC-053</t>
  </si>
  <si>
    <t xml:space="preserve">M7-D02</t>
  </si>
  <si>
    <t xml:space="preserve">University Overview: page width</t>
  </si>
  <si>
    <t xml:space="preserve">1280</t>
  </si>
  <si>
    <t xml:space="preserve">page.json</t>
  </si>
  <si>
    <t xml:space="preserve">M4-TC-054</t>
  </si>
  <si>
    <t xml:space="preserve">M7-D03</t>
  </si>
  <si>
    <t xml:space="preserve">University Overview: page height</t>
  </si>
  <si>
    <t xml:space="preserve">1704</t>
  </si>
  <si>
    <t xml:space="preserve">M4-TC-055</t>
  </si>
  <si>
    <t xml:space="preserve">M7-D04</t>
  </si>
  <si>
    <t xml:space="preserve">University Overview: total visuals</t>
  </si>
  <si>
    <t xml:space="preserve">21</t>
  </si>
  <si>
    <t xml:space="preserve">visual definitions</t>
  </si>
  <si>
    <t xml:space="preserve">M4-TC-056</t>
  </si>
  <si>
    <t xml:space="preserve">M7-D05</t>
  </si>
  <si>
    <t xml:space="preserve">University Overview: dropdown slicers</t>
  </si>
  <si>
    <t xml:space="preserve">M4-TC-057</t>
  </si>
  <si>
    <t xml:space="preserve">M7-D06</t>
  </si>
  <si>
    <t xml:space="preserve">University Overview: KPI cards</t>
  </si>
  <si>
    <t xml:space="preserve">4</t>
  </si>
  <si>
    <t xml:space="preserve">card visual definitions</t>
  </si>
  <si>
    <t xml:space="preserve">M4-TC-058</t>
  </si>
  <si>
    <t xml:space="preserve">M7-D07</t>
  </si>
  <si>
    <t xml:space="preserve">University Overview: native navigator</t>
  </si>
  <si>
    <t xml:space="preserve">navigator definition</t>
  </si>
  <si>
    <t xml:space="preserve">M4-TC-059</t>
  </si>
  <si>
    <t xml:space="preserve">M7-D08</t>
  </si>
  <si>
    <t xml:space="preserve">University Overview: standard map</t>
  </si>
  <si>
    <t xml:space="preserve">map definition</t>
  </si>
  <si>
    <t xml:space="preserve">M4-TC-060</t>
  </si>
  <si>
    <t xml:space="preserve">M7-D09</t>
  </si>
  <si>
    <t xml:space="preserve">University Overview: no inactive projections</t>
  </si>
  <si>
    <t xml:space="preserve">queryState projections</t>
  </si>
  <si>
    <t xml:space="preserve">M4-TC-061</t>
  </si>
  <si>
    <t xml:space="preserve">M7-D10</t>
  </si>
  <si>
    <t xml:space="preserve">University Overview: unique visual identifiers</t>
  </si>
  <si>
    <t xml:space="preserve">visual names</t>
  </si>
  <si>
    <t xml:space="preserve">M4-TC-062</t>
  </si>
  <si>
    <t xml:space="preserve">M7-D11</t>
  </si>
  <si>
    <t xml:space="preserve">University Overview: KPI measures are bound</t>
  </si>
  <si>
    <t xml:space="preserve">Highest Global Score, Average Global Score, Country Count, University Count</t>
  </si>
  <si>
    <t xml:space="preserve">M4-TC-063</t>
  </si>
  <si>
    <t xml:space="preserve">M7-D12</t>
  </si>
  <si>
    <t xml:space="preserve">University Overview: data-visual contract</t>
  </si>
  <si>
    <t xml:space="preserve">18</t>
  </si>
  <si>
    <t xml:space="preserve">validation_summary.json</t>
  </si>
  <si>
    <t xml:space="preserve">M4-TC-064</t>
  </si>
  <si>
    <t xml:space="preserve">M7-M01</t>
  </si>
  <si>
    <t xml:space="preserve">University Overview: location role</t>
  </si>
  <si>
    <t xml:space="preserve">Country</t>
  </si>
  <si>
    <t xml:space="preserve">Global University Footprint by Country</t>
  </si>
  <si>
    <t xml:space="preserve">M4-TC-065</t>
  </si>
  <si>
    <t xml:space="preserve">M7-M02</t>
  </si>
  <si>
    <t xml:space="preserve">University Overview: legend role</t>
  </si>
  <si>
    <t xml:space="preserve">Region</t>
  </si>
  <si>
    <t xml:space="preserve">M4-TC-066</t>
  </si>
  <si>
    <t xml:space="preserve">M7-M03</t>
  </si>
  <si>
    <t xml:space="preserve">University Overview: size measure</t>
  </si>
  <si>
    <t xml:space="preserve">University Count</t>
  </si>
  <si>
    <t xml:space="preserve">M4-TC-067</t>
  </si>
  <si>
    <t xml:space="preserve">M7-M04</t>
  </si>
  <si>
    <t xml:space="preserve">University Overview: tooltip coverage</t>
  </si>
  <si>
    <t xml:space="preserve">&gt;=3</t>
  </si>
  <si>
    <t xml:space="preserve">3</t>
  </si>
  <si>
    <t xml:space="preserve">Average Global Score, Average Academic Reputation, Average Research Impact</t>
  </si>
  <si>
    <t xml:space="preserve">M4-TC-068</t>
  </si>
  <si>
    <t xml:space="preserve">M7-M05</t>
  </si>
  <si>
    <t xml:space="preserve">University Overview: map stays inside page</t>
  </si>
  <si>
    <t xml:space="preserve">bottom &lt;= 1704</t>
  </si>
  <si>
    <t xml:space="preserve">1680</t>
  </si>
  <si>
    <t xml:space="preserve">map position and page height</t>
  </si>
  <si>
    <t xml:space="preserve">M4-TC-069</t>
  </si>
  <si>
    <t xml:space="preserve">M7-M06</t>
  </si>
  <si>
    <t xml:space="preserve">University Overview: map title is present</t>
  </si>
  <si>
    <t xml:space="preserve">non-empty title</t>
  </si>
  <si>
    <t xml:space="preserve">visualContainerObjects.title</t>
  </si>
  <si>
    <t xml:space="preserve">M4-TC-070</t>
  </si>
  <si>
    <t xml:space="preserve">M7-M07</t>
  </si>
  <si>
    <t xml:space="preserve">University Overview: all map projections active</t>
  </si>
  <si>
    <t xml:space="preserve">all active</t>
  </si>
  <si>
    <t xml:space="preserve">map queryState</t>
  </si>
  <si>
    <t xml:space="preserve">M4-TC-071</t>
  </si>
  <si>
    <t xml:space="preserve">M7-F01</t>
  </si>
  <si>
    <t xml:space="preserve">University Overview: field exists in semantic model - Average Academic Reputation</t>
  </si>
  <si>
    <t xml:space="preserve">defined measure or column</t>
  </si>
  <si>
    <t xml:space="preserve">Average Academic Reputation</t>
  </si>
  <si>
    <t xml:space="preserve">M4-TC-072</t>
  </si>
  <si>
    <t xml:space="preserve">University Overview: field exists in semantic model - Average Employer Reputation</t>
  </si>
  <si>
    <t xml:space="preserve">Average Employer Reputation</t>
  </si>
  <si>
    <t xml:space="preserve">M4-TC-073</t>
  </si>
  <si>
    <t xml:space="preserve">University Overview: field exists in semantic model - Average Global Score</t>
  </si>
  <si>
    <t xml:space="preserve">Average Global Score</t>
  </si>
  <si>
    <t xml:space="preserve">M4-TC-074</t>
  </si>
  <si>
    <t xml:space="preserve">University Overview: field exists in semantic model - Average Previous QS Rank</t>
  </si>
  <si>
    <t xml:space="preserve">Average Previous QS Rank</t>
  </si>
  <si>
    <t xml:space="preserve">M4-TC-075</t>
  </si>
  <si>
    <t xml:space="preserve">University Overview: field exists in semantic model - Average QS Rank</t>
  </si>
  <si>
    <t xml:space="preserve">Average QS Rank</t>
  </si>
  <si>
    <t xml:space="preserve">M4-TC-076</t>
  </si>
  <si>
    <t xml:space="preserve">University Overview: field exists in semantic model - Average Rank Movement</t>
  </si>
  <si>
    <t xml:space="preserve">Average Rank Movement</t>
  </si>
  <si>
    <t xml:space="preserve">M4-TC-077</t>
  </si>
  <si>
    <t xml:space="preserve">University Overview: field exists in semantic model - Average Research Impact</t>
  </si>
  <si>
    <t xml:space="preserve">Average Research Impact</t>
  </si>
  <si>
    <t xml:space="preserve">M4-TC-078</t>
  </si>
  <si>
    <t xml:space="preserve">University Overview: field exists in semantic model - Average Sustainability</t>
  </si>
  <si>
    <t xml:space="preserve">Average Sustainability</t>
  </si>
  <si>
    <t xml:space="preserve">M4-TC-079</t>
  </si>
  <si>
    <t xml:space="preserve">University Overview: field exists in semantic model - Country</t>
  </si>
  <si>
    <t xml:space="preserve">M4-TC-080</t>
  </si>
  <si>
    <t xml:space="preserve">University Overview: field exists in semantic model - Country Count</t>
  </si>
  <si>
    <t xml:space="preserve">Country Count</t>
  </si>
  <si>
    <t xml:space="preserve">M4-TC-081</t>
  </si>
  <si>
    <t xml:space="preserve">University Overview: field exists in semantic model - Focus</t>
  </si>
  <si>
    <t xml:space="preserve">Focus</t>
  </si>
  <si>
    <t xml:space="preserve">M4-TC-082</t>
  </si>
  <si>
    <t xml:space="preserve">University Overview: field exists in semantic model - Highest Global Score</t>
  </si>
  <si>
    <t xml:space="preserve">Highest Global Score</t>
  </si>
  <si>
    <t xml:space="preserve">M4-TC-083</t>
  </si>
  <si>
    <t xml:space="preserve">University Overview: field exists in semantic model - Institution Status</t>
  </si>
  <si>
    <t xml:space="preserve">Institution Status</t>
  </si>
  <si>
    <t xml:space="preserve">M4-TC-084</t>
  </si>
  <si>
    <t xml:space="preserve">University Overview: field exists in semantic model - Region</t>
  </si>
  <si>
    <t xml:space="preserve">M4-TC-085</t>
  </si>
  <si>
    <t xml:space="preserve">University Overview: field exists in semantic model - Research Activity</t>
  </si>
  <si>
    <t xml:space="preserve">Research Activity</t>
  </si>
  <si>
    <t xml:space="preserve">M4-TC-086</t>
  </si>
  <si>
    <t xml:space="preserve">University Overview: field exists in semantic model - Size</t>
  </si>
  <si>
    <t xml:space="preserve">Size</t>
  </si>
  <si>
    <t xml:space="preserve">M4-TC-087</t>
  </si>
  <si>
    <t xml:space="preserve">University Overview: field exists in semantic model - University</t>
  </si>
  <si>
    <t xml:space="preserve">University</t>
  </si>
  <si>
    <t xml:space="preserve">M4-TC-088</t>
  </si>
  <si>
    <t xml:space="preserve">University Overview: field exists in semantic model - University Count</t>
  </si>
  <si>
    <t xml:space="preserve">M4-TC-089</t>
  </si>
  <si>
    <t xml:space="preserve">Research Analytics: correct order</t>
  </si>
  <si>
    <t xml:space="preserve">2</t>
  </si>
  <si>
    <t xml:space="preserve">M4-TC-090</t>
  </si>
  <si>
    <t xml:space="preserve">Research Analytics: page width</t>
  </si>
  <si>
    <t xml:space="preserve">M4-TC-091</t>
  </si>
  <si>
    <t xml:space="preserve">Research Analytics: page height</t>
  </si>
  <si>
    <t xml:space="preserve">M4-TC-092</t>
  </si>
  <si>
    <t xml:space="preserve">Research Analytics: total visuals</t>
  </si>
  <si>
    <t xml:space="preserve">M4-TC-093</t>
  </si>
  <si>
    <t xml:space="preserve">Research Analytics: dropdown slicers</t>
  </si>
  <si>
    <t xml:space="preserve">M4-TC-094</t>
  </si>
  <si>
    <t xml:space="preserve">Research Analytics: KPI cards</t>
  </si>
  <si>
    <t xml:space="preserve">M4-TC-095</t>
  </si>
  <si>
    <t xml:space="preserve">Research Analytics: native navigator</t>
  </si>
  <si>
    <t xml:space="preserve">M4-TC-096</t>
  </si>
  <si>
    <t xml:space="preserve">Research Analytics: standard map</t>
  </si>
  <si>
    <t xml:space="preserve">M4-TC-097</t>
  </si>
  <si>
    <t xml:space="preserve">Research Analytics: no inactive projections</t>
  </si>
  <si>
    <t xml:space="preserve">M4-TC-098</t>
  </si>
  <si>
    <t xml:space="preserve">Research Analytics: unique visual identifiers</t>
  </si>
  <si>
    <t xml:space="preserve">M4-TC-099</t>
  </si>
  <si>
    <t xml:space="preserve">Research Analytics: KPI measures are bound</t>
  </si>
  <si>
    <t xml:space="preserve">Average Citations per Faculty, Average Research Productivity, Average Research Quality, Average Research Impact</t>
  </si>
  <si>
    <t xml:space="preserve">M4-TC-100</t>
  </si>
  <si>
    <t xml:space="preserve">Research Analytics: data-visual contract</t>
  </si>
  <si>
    <t xml:space="preserve">M4-TC-101</t>
  </si>
  <si>
    <t xml:space="preserve">Research Analytics: location role</t>
  </si>
  <si>
    <t xml:space="preserve">Global Research Impact Map</t>
  </si>
  <si>
    <t xml:space="preserve">M4-TC-102</t>
  </si>
  <si>
    <t xml:space="preserve">Research Analytics: legend role</t>
  </si>
  <si>
    <t xml:space="preserve">M4-TC-103</t>
  </si>
  <si>
    <t xml:space="preserve">Research Analytics: size measure</t>
  </si>
  <si>
    <t xml:space="preserve">M4-TC-104</t>
  </si>
  <si>
    <t xml:space="preserve">Research Analytics: tooltip coverage</t>
  </si>
  <si>
    <t xml:space="preserve">&gt;=4</t>
  </si>
  <si>
    <t xml:space="preserve">University Count, Average Research Productivity, Average Research Quality, Average Citations per Faculty</t>
  </si>
  <si>
    <t xml:space="preserve">M4-TC-105</t>
  </si>
  <si>
    <t xml:space="preserve">Research Analytics: map stays inside page</t>
  </si>
  <si>
    <t xml:space="preserve">M4-TC-106</t>
  </si>
  <si>
    <t xml:space="preserve">Research Analytics: map title is present</t>
  </si>
  <si>
    <t xml:space="preserve">M4-TC-107</t>
  </si>
  <si>
    <t xml:space="preserve">Research Analytics: all map projections active</t>
  </si>
  <si>
    <t xml:space="preserve">M4-TC-108</t>
  </si>
  <si>
    <t xml:space="preserve">Research Analytics: field exists in semantic model - Average Academic Reputation</t>
  </si>
  <si>
    <t xml:space="preserve">M4-TC-109</t>
  </si>
  <si>
    <t xml:space="preserve">Research Analytics: field exists in semantic model - Average Citations per Faculty</t>
  </si>
  <si>
    <t xml:space="preserve">Average Citations per Faculty</t>
  </si>
  <si>
    <t xml:space="preserve">M4-TC-110</t>
  </si>
  <si>
    <t xml:space="preserve">Research Analytics: field exists in semantic model - Average Global Score</t>
  </si>
  <si>
    <t xml:space="preserve">M4-TC-111</t>
  </si>
  <si>
    <t xml:space="preserve">Research Analytics: field exists in semantic model - Average Industry Impact</t>
  </si>
  <si>
    <t xml:space="preserve">Average Industry Impact</t>
  </si>
  <si>
    <t xml:space="preserve">M4-TC-112</t>
  </si>
  <si>
    <t xml:space="preserve">Research Analytics: field exists in semantic model - Average International Research Network</t>
  </si>
  <si>
    <t xml:space="preserve">Average International Research Network</t>
  </si>
  <si>
    <t xml:space="preserve">M4-TC-113</t>
  </si>
  <si>
    <t xml:space="preserve">Research Analytics: field exists in semantic model - Average Research Impact</t>
  </si>
  <si>
    <t xml:space="preserve">M4-TC-114</t>
  </si>
  <si>
    <t xml:space="preserve">Research Analytics: field exists in semantic model - Average Research Productivity</t>
  </si>
  <si>
    <t xml:space="preserve">Average Research Productivity</t>
  </si>
  <si>
    <t xml:space="preserve">M4-TC-115</t>
  </si>
  <si>
    <t xml:space="preserve">Research Analytics: field exists in semantic model - Average Research Quality</t>
  </si>
  <si>
    <t xml:space="preserve">Average Research Quality</t>
  </si>
  <si>
    <t xml:space="preserve">M4-TC-116</t>
  </si>
  <si>
    <t xml:space="preserve">Research Analytics: field exists in semantic model - Country</t>
  </si>
  <si>
    <t xml:space="preserve">M4-TC-117</t>
  </si>
  <si>
    <t xml:space="preserve">Research Analytics: field exists in semantic model - Focus</t>
  </si>
  <si>
    <t xml:space="preserve">M4-TC-118</t>
  </si>
  <si>
    <t xml:space="preserve">Research Analytics: field exists in semantic model - Institution Status</t>
  </si>
  <si>
    <t xml:space="preserve">M4-TC-119</t>
  </si>
  <si>
    <t xml:space="preserve">Research Analytics: field exists in semantic model - Region</t>
  </si>
  <si>
    <t xml:space="preserve">M4-TC-120</t>
  </si>
  <si>
    <t xml:space="preserve">Research Analytics: field exists in semantic model - Research Activity</t>
  </si>
  <si>
    <t xml:space="preserve">M4-TC-121</t>
  </si>
  <si>
    <t xml:space="preserve">Research Analytics: field exists in semantic model - Size</t>
  </si>
  <si>
    <t xml:space="preserve">M4-TC-122</t>
  </si>
  <si>
    <t xml:space="preserve">Research Analytics: field exists in semantic model - University</t>
  </si>
  <si>
    <t xml:space="preserve">M4-TC-123</t>
  </si>
  <si>
    <t xml:space="preserve">Research Analytics: field exists in semantic model - University Count</t>
  </si>
  <si>
    <t xml:space="preserve">M4-TC-124</t>
  </si>
  <si>
    <t xml:space="preserve">Student Analytics: correct order</t>
  </si>
  <si>
    <t xml:space="preserve">M4-TC-125</t>
  </si>
  <si>
    <t xml:space="preserve">Student Analytics: page width</t>
  </si>
  <si>
    <t xml:space="preserve">M4-TC-126</t>
  </si>
  <si>
    <t xml:space="preserve">Student Analytics: page height</t>
  </si>
  <si>
    <t xml:space="preserve">M4-TC-127</t>
  </si>
  <si>
    <t xml:space="preserve">Student Analytics: total visuals</t>
  </si>
  <si>
    <t xml:space="preserve">M4-TC-128</t>
  </si>
  <si>
    <t xml:space="preserve">Student Analytics: dropdown slicers</t>
  </si>
  <si>
    <t xml:space="preserve">M4-TC-129</t>
  </si>
  <si>
    <t xml:space="preserve">Student Analytics: KPI cards</t>
  </si>
  <si>
    <t xml:space="preserve">M4-TC-130</t>
  </si>
  <si>
    <t xml:space="preserve">Student Analytics: native navigator</t>
  </si>
  <si>
    <t xml:space="preserve">M4-TC-131</t>
  </si>
  <si>
    <t xml:space="preserve">Student Analytics: standard map</t>
  </si>
  <si>
    <t xml:space="preserve">M4-TC-132</t>
  </si>
  <si>
    <t xml:space="preserve">Student Analytics: no inactive projections</t>
  </si>
  <si>
    <t xml:space="preserve">M4-TC-133</t>
  </si>
  <si>
    <t xml:space="preserve">Student Analytics: unique visual identifiers</t>
  </si>
  <si>
    <t xml:space="preserve">M4-TC-134</t>
  </si>
  <si>
    <t xml:space="preserve">Student Analytics: KPI measures are bound</t>
  </si>
  <si>
    <t xml:space="preserve">Average Student Population, Average Student Diversity, International Students %, Average Students to Staff</t>
  </si>
  <si>
    <t xml:space="preserve">M4-TC-135</t>
  </si>
  <si>
    <t xml:space="preserve">Student Analytics: data-visual contract</t>
  </si>
  <si>
    <t xml:space="preserve">M4-TC-136</t>
  </si>
  <si>
    <t xml:space="preserve">Student Analytics: location role</t>
  </si>
  <si>
    <t xml:space="preserve">International Student and Diversity Map</t>
  </si>
  <si>
    <t xml:space="preserve">M4-TC-137</t>
  </si>
  <si>
    <t xml:space="preserve">Student Analytics: legend role</t>
  </si>
  <si>
    <t xml:space="preserve">M4-TC-138</t>
  </si>
  <si>
    <t xml:space="preserve">Student Analytics: size measure</t>
  </si>
  <si>
    <t xml:space="preserve">International Students %</t>
  </si>
  <si>
    <t xml:space="preserve">M4-TC-139</t>
  </si>
  <si>
    <t xml:space="preserve">Student Analytics: tooltip coverage</t>
  </si>
  <si>
    <t xml:space="preserve">University Count, Average Student Population, Average Student Diversity, Average Students to Staff</t>
  </si>
  <si>
    <t xml:space="preserve">M4-TC-140</t>
  </si>
  <si>
    <t xml:space="preserve">Student Analytics: map stays inside page</t>
  </si>
  <si>
    <t xml:space="preserve">M4-TC-141</t>
  </si>
  <si>
    <t xml:space="preserve">Student Analytics: map title is present</t>
  </si>
  <si>
    <t xml:space="preserve">M4-TC-142</t>
  </si>
  <si>
    <t xml:space="preserve">Student Analytics: all map projections active</t>
  </si>
  <si>
    <t xml:space="preserve">M4-TC-143</t>
  </si>
  <si>
    <t xml:space="preserve">Student Analytics: field exists in semantic model - Average Academic Reputation</t>
  </si>
  <si>
    <t xml:space="preserve">M4-TC-144</t>
  </si>
  <si>
    <t xml:space="preserve">Student Analytics: field exists in semantic model - Average Global Score</t>
  </si>
  <si>
    <t xml:space="preserve">M4-TC-145</t>
  </si>
  <si>
    <t xml:space="preserve">Student Analytics: field exists in semantic model - Average International Faculty</t>
  </si>
  <si>
    <t xml:space="preserve">Average International Faculty</t>
  </si>
  <si>
    <t xml:space="preserve">M4-TC-146</t>
  </si>
  <si>
    <t xml:space="preserve">Student Analytics: field exists in semantic model - Average International Outlook</t>
  </si>
  <si>
    <t xml:space="preserve">Average International Outlook</t>
  </si>
  <si>
    <t xml:space="preserve">M4-TC-147</t>
  </si>
  <si>
    <t xml:space="preserve">Student Analytics: field exists in semantic model - Average International Student Score</t>
  </si>
  <si>
    <t xml:space="preserve">Average International Student Score</t>
  </si>
  <si>
    <t xml:space="preserve">M4-TC-148</t>
  </si>
  <si>
    <t xml:space="preserve">Student Analytics: field exists in semantic model - Average Research Impact</t>
  </si>
  <si>
    <t xml:space="preserve">M4-TC-149</t>
  </si>
  <si>
    <t xml:space="preserve">Student Analytics: field exists in semantic model - Average Student Diversity</t>
  </si>
  <si>
    <t xml:space="preserve">Average Student Diversity</t>
  </si>
  <si>
    <t xml:space="preserve">M4-TC-150</t>
  </si>
  <si>
    <t xml:space="preserve">Student Analytics: field exists in semantic model - Average Student Population</t>
  </si>
  <si>
    <t xml:space="preserve">Average Student Population</t>
  </si>
  <si>
    <t xml:space="preserve">M4-TC-151</t>
  </si>
  <si>
    <t xml:space="preserve">Student Analytics: field exists in semantic model - Average Students to Staff</t>
  </si>
  <si>
    <t xml:space="preserve">Average Students to Staff</t>
  </si>
  <si>
    <t xml:space="preserve">M4-TC-152</t>
  </si>
  <si>
    <t xml:space="preserve">Student Analytics: field exists in semantic model - Average Teaching Score</t>
  </si>
  <si>
    <t xml:space="preserve">Average Teaching Score</t>
  </si>
  <si>
    <t xml:space="preserve">M4-TC-153</t>
  </si>
  <si>
    <t xml:space="preserve">Student Analytics: field exists in semantic model - Country</t>
  </si>
  <si>
    <t xml:space="preserve">M4-TC-154</t>
  </si>
  <si>
    <t xml:space="preserve">Student Analytics: field exists in semantic model - Faculty to Student %</t>
  </si>
  <si>
    <t xml:space="preserve">Faculty to Student %</t>
  </si>
  <si>
    <t xml:space="preserve">M4-TC-155</t>
  </si>
  <si>
    <t xml:space="preserve">Student Analytics: field exists in semantic model - Focus</t>
  </si>
  <si>
    <t xml:space="preserve">M4-TC-156</t>
  </si>
  <si>
    <t xml:space="preserve">Student Analytics: field exists in semantic model - Institution Status</t>
  </si>
  <si>
    <t xml:space="preserve">M4-TC-157</t>
  </si>
  <si>
    <t xml:space="preserve">Student Analytics: field exists in semantic model - International Students %</t>
  </si>
  <si>
    <t xml:space="preserve">M4-TC-158</t>
  </si>
  <si>
    <t xml:space="preserve">Student Analytics: field exists in semantic model - International Students Target</t>
  </si>
  <si>
    <t xml:space="preserve">International Students Target</t>
  </si>
  <si>
    <t xml:space="preserve">M4-TC-159</t>
  </si>
  <si>
    <t xml:space="preserve">Student Analytics: field exists in semantic model - Percent Scale Maximum</t>
  </si>
  <si>
    <t xml:space="preserve">Percent Scale Maximum</t>
  </si>
  <si>
    <t xml:space="preserve">M4-TC-160</t>
  </si>
  <si>
    <t xml:space="preserve">Student Analytics: field exists in semantic model - Percent Scale Minimum</t>
  </si>
  <si>
    <t xml:space="preserve">Percent Scale Minimum</t>
  </si>
  <si>
    <t xml:space="preserve">M4-TC-161</t>
  </si>
  <si>
    <t xml:space="preserve">Student Analytics: field exists in semantic model - Region</t>
  </si>
  <si>
    <t xml:space="preserve">M4-TC-162</t>
  </si>
  <si>
    <t xml:space="preserve">Student Analytics: field exists in semantic model - Research Activity</t>
  </si>
  <si>
    <t xml:space="preserve">M4-TC-163</t>
  </si>
  <si>
    <t xml:space="preserve">Student Analytics: field exists in semantic model - Size</t>
  </si>
  <si>
    <t xml:space="preserve">M4-TC-164</t>
  </si>
  <si>
    <t xml:space="preserve">Student Analytics: field exists in semantic model - University</t>
  </si>
  <si>
    <t xml:space="preserve">M4-TC-165</t>
  </si>
  <si>
    <t xml:space="preserve">Student Analytics: field exists in semantic model - University Count</t>
  </si>
  <si>
    <t xml:space="preserve">M4-TC-166</t>
  </si>
  <si>
    <t xml:space="preserve">Country Comparison: correct order</t>
  </si>
  <si>
    <t xml:space="preserve">M4-TC-167</t>
  </si>
  <si>
    <t xml:space="preserve">Country Comparison: page width</t>
  </si>
  <si>
    <t xml:space="preserve">M4-TC-168</t>
  </si>
  <si>
    <t xml:space="preserve">Country Comparison: page height</t>
  </si>
  <si>
    <t xml:space="preserve">M4-TC-169</t>
  </si>
  <si>
    <t xml:space="preserve">Country Comparison: total visuals</t>
  </si>
  <si>
    <t xml:space="preserve">M4-TC-170</t>
  </si>
  <si>
    <t xml:space="preserve">Country Comparison: dropdown slicers</t>
  </si>
  <si>
    <t xml:space="preserve">M4-TC-171</t>
  </si>
  <si>
    <t xml:space="preserve">Country Comparison: KPI cards</t>
  </si>
  <si>
    <t xml:space="preserve">M4-TC-172</t>
  </si>
  <si>
    <t xml:space="preserve">Country Comparison: native navigator</t>
  </si>
  <si>
    <t xml:space="preserve">M4-TC-173</t>
  </si>
  <si>
    <t xml:space="preserve">Country Comparison: standard map</t>
  </si>
  <si>
    <t xml:space="preserve">M4-TC-174</t>
  </si>
  <si>
    <t xml:space="preserve">Country Comparison: no inactive projections</t>
  </si>
  <si>
    <t xml:space="preserve">M4-TC-175</t>
  </si>
  <si>
    <t xml:space="preserve">Country Comparison: unique visual identifiers</t>
  </si>
  <si>
    <t xml:space="preserve">M4-TC-176</t>
  </si>
  <si>
    <t xml:space="preserve">Country Comparison: KPI measures are bound</t>
  </si>
  <si>
    <t xml:space="preserve">Declined Universities, Country Count, Improved Universities, University Count</t>
  </si>
  <si>
    <t xml:space="preserve">M4-TC-177</t>
  </si>
  <si>
    <t xml:space="preserve">Country Comparison: data-visual contract</t>
  </si>
  <si>
    <t xml:space="preserve">M4-TC-178</t>
  </si>
  <si>
    <t xml:space="preserve">Country Comparison: location role</t>
  </si>
  <si>
    <t xml:space="preserve">Country Performance Benchmark Map</t>
  </si>
  <si>
    <t xml:space="preserve">M4-TC-179</t>
  </si>
  <si>
    <t xml:space="preserve">Country Comparison: legend role</t>
  </si>
  <si>
    <t xml:space="preserve">M4-TC-180</t>
  </si>
  <si>
    <t xml:space="preserve">Country Comparison: size measure</t>
  </si>
  <si>
    <t xml:space="preserve">M4-TC-181</t>
  </si>
  <si>
    <t xml:space="preserve">Country Comparison: tooltip coverage</t>
  </si>
  <si>
    <t xml:space="preserve">University Count, Average Research Impact, Average Academic Reputation, Average Rank Movement</t>
  </si>
  <si>
    <t xml:space="preserve">M4-TC-182</t>
  </si>
  <si>
    <t xml:space="preserve">Country Comparison: map stays inside page</t>
  </si>
  <si>
    <t xml:space="preserve">M4-TC-183</t>
  </si>
  <si>
    <t xml:space="preserve">Country Comparison: map title is present</t>
  </si>
  <si>
    <t xml:space="preserve">M4-TC-184</t>
  </si>
  <si>
    <t xml:space="preserve">Country Comparison: all map projections active</t>
  </si>
  <si>
    <t xml:space="preserve">M4-TC-185</t>
  </si>
  <si>
    <t xml:space="preserve">Country Comparison: field exists in semantic model - Average Academic Reputation</t>
  </si>
  <si>
    <t xml:space="preserve">M4-TC-186</t>
  </si>
  <si>
    <t xml:space="preserve">Country Comparison: field exists in semantic model - Average Employer Reputation</t>
  </si>
  <si>
    <t xml:space="preserve">M4-TC-187</t>
  </si>
  <si>
    <t xml:space="preserve">Country Comparison: field exists in semantic model - Average Employment Outcomes</t>
  </si>
  <si>
    <t xml:space="preserve">Average Employment Outcomes</t>
  </si>
  <si>
    <t xml:space="preserve">M4-TC-188</t>
  </si>
  <si>
    <t xml:space="preserve">Country Comparison: field exists in semantic model - Average Global Score</t>
  </si>
  <si>
    <t xml:space="preserve">M4-TC-189</t>
  </si>
  <si>
    <t xml:space="preserve">Country Comparison: field exists in semantic model - Average Industry Impact</t>
  </si>
  <si>
    <t xml:space="preserve">M4-TC-190</t>
  </si>
  <si>
    <t xml:space="preserve">Country Comparison: field exists in semantic model - Average Previous QS Rank</t>
  </si>
  <si>
    <t xml:space="preserve">M4-TC-191</t>
  </si>
  <si>
    <t xml:space="preserve">Country Comparison: field exists in semantic model - Average QS Rank</t>
  </si>
  <si>
    <t xml:space="preserve">M4-TC-192</t>
  </si>
  <si>
    <t xml:space="preserve">Country Comparison: field exists in semantic model - Average Rank Movement</t>
  </si>
  <si>
    <t xml:space="preserve">M4-TC-193</t>
  </si>
  <si>
    <t xml:space="preserve">Country Comparison: field exists in semantic model - Average Research Impact</t>
  </si>
  <si>
    <t xml:space="preserve">M4-TC-194</t>
  </si>
  <si>
    <t xml:space="preserve">Country Comparison: field exists in semantic model - Average Sustainability</t>
  </si>
  <si>
    <t xml:space="preserve">M4-TC-195</t>
  </si>
  <si>
    <t xml:space="preserve">Country Comparison: field exists in semantic model - Country</t>
  </si>
  <si>
    <t xml:space="preserve">M4-TC-196</t>
  </si>
  <si>
    <t xml:space="preserve">Country Comparison: field exists in semantic model - Country Count</t>
  </si>
  <si>
    <t xml:space="preserve">M4-TC-197</t>
  </si>
  <si>
    <t xml:space="preserve">Country Comparison: field exists in semantic model - Declined Universities</t>
  </si>
  <si>
    <t xml:space="preserve">Declined Universities</t>
  </si>
  <si>
    <t xml:space="preserve">M4-TC-198</t>
  </si>
  <si>
    <t xml:space="preserve">Country Comparison: field exists in semantic model - Focus</t>
  </si>
  <si>
    <t xml:space="preserve">M4-TC-199</t>
  </si>
  <si>
    <t xml:space="preserve">Country Comparison: field exists in semantic model - Improved Universities</t>
  </si>
  <si>
    <t xml:space="preserve">Improved Universities</t>
  </si>
  <si>
    <t xml:space="preserve">M4-TC-200</t>
  </si>
  <si>
    <t xml:space="preserve">Country Comparison: field exists in semantic model - Institution Status</t>
  </si>
  <si>
    <t xml:space="preserve">M4-TC-201</t>
  </si>
  <si>
    <t xml:space="preserve">Country Comparison: field exists in semantic model - International Students %</t>
  </si>
  <si>
    <t xml:space="preserve">M4-TC-202</t>
  </si>
  <si>
    <t xml:space="preserve">Country Comparison: field exists in semantic model - Region</t>
  </si>
  <si>
    <t xml:space="preserve">M4-TC-203</t>
  </si>
  <si>
    <t xml:space="preserve">Country Comparison: field exists in semantic model - Research Activity</t>
  </si>
  <si>
    <t xml:space="preserve">M4-TC-204</t>
  </si>
  <si>
    <t xml:space="preserve">Country Comparison: field exists in semantic model - Size</t>
  </si>
  <si>
    <t xml:space="preserve">M4-TC-205</t>
  </si>
  <si>
    <t xml:space="preserve">Country Comparison: field exists in semantic model - University Count</t>
  </si>
  <si>
    <t xml:space="preserve">M4-TC-206</t>
  </si>
  <si>
    <t xml:space="preserve">Executive Command Center: correct order</t>
  </si>
  <si>
    <t xml:space="preserve">M4-TC-207</t>
  </si>
  <si>
    <t xml:space="preserve">Executive Command Center: page width</t>
  </si>
  <si>
    <t xml:space="preserve">M4-TC-208</t>
  </si>
  <si>
    <t xml:space="preserve">Executive Command Center: page height</t>
  </si>
  <si>
    <t xml:space="preserve">2204</t>
  </si>
  <si>
    <t xml:space="preserve">M4-TC-209</t>
  </si>
  <si>
    <t xml:space="preserve">Executive Command Center: total visuals</t>
  </si>
  <si>
    <t xml:space="preserve">26</t>
  </si>
  <si>
    <t xml:space="preserve">M4-TC-210</t>
  </si>
  <si>
    <t xml:space="preserve">Executive Command Center: dropdown slicers</t>
  </si>
  <si>
    <t xml:space="preserve">M4-TC-211</t>
  </si>
  <si>
    <t xml:space="preserve">Executive Command Center: KPI cards</t>
  </si>
  <si>
    <t xml:space="preserve">M4-TC-212</t>
  </si>
  <si>
    <t xml:space="preserve">Executive Command Center: native navigator</t>
  </si>
  <si>
    <t xml:space="preserve">M4-TC-213</t>
  </si>
  <si>
    <t xml:space="preserve">Executive Command Center: standard map</t>
  </si>
  <si>
    <t xml:space="preserve">M4-TC-214</t>
  </si>
  <si>
    <t xml:space="preserve">Executive Command Center: no inactive projections</t>
  </si>
  <si>
    <t xml:space="preserve">M4-TC-215</t>
  </si>
  <si>
    <t xml:space="preserve">Executive Command Center: unique visual identifiers</t>
  </si>
  <si>
    <t xml:space="preserve">M4-TC-216</t>
  </si>
  <si>
    <t xml:space="preserve">Executive Command Center: KPI measures are bound</t>
  </si>
  <si>
    <t xml:space="preserve">Average Sustainability, University Count, Country Count, International Students %, Average Global Score, Average Research Impact</t>
  </si>
  <si>
    <t xml:space="preserve">M4-TC-217</t>
  </si>
  <si>
    <t xml:space="preserve">Executive Command Center: data-visual contract</t>
  </si>
  <si>
    <t xml:space="preserve">23</t>
  </si>
  <si>
    <t xml:space="preserve">M4-TC-218</t>
  </si>
  <si>
    <t xml:space="preserve">Executive Command Center: location role</t>
  </si>
  <si>
    <t xml:space="preserve">Global Excellence and Sustainability Map</t>
  </si>
  <si>
    <t xml:space="preserve">M4-TC-219</t>
  </si>
  <si>
    <t xml:space="preserve">Executive Command Center: legend role</t>
  </si>
  <si>
    <t xml:space="preserve">M4-TC-220</t>
  </si>
  <si>
    <t xml:space="preserve">Executive Command Center: size measure</t>
  </si>
  <si>
    <t xml:space="preserve">M4-TC-221</t>
  </si>
  <si>
    <t xml:space="preserve">Executive Command Center: tooltip coverage</t>
  </si>
  <si>
    <t xml:space="preserve">University Count, Average Research Impact, International Students %, Average Sustainability</t>
  </si>
  <si>
    <t xml:space="preserve">M4-TC-222</t>
  </si>
  <si>
    <t xml:space="preserve">Executive Command Center: map stays inside page</t>
  </si>
  <si>
    <t xml:space="preserve">bottom &lt;= 2204</t>
  </si>
  <si>
    <t xml:space="preserve">2180</t>
  </si>
  <si>
    <t xml:space="preserve">M4-TC-223</t>
  </si>
  <si>
    <t xml:space="preserve">Executive Command Center: map title is present</t>
  </si>
  <si>
    <t xml:space="preserve">M4-TC-224</t>
  </si>
  <si>
    <t xml:space="preserve">Executive Command Center: all map projections active</t>
  </si>
  <si>
    <t xml:space="preserve">M4-TC-225</t>
  </si>
  <si>
    <t xml:space="preserve">Executive Command Center: field exists in semantic model - Average Academic Reputation</t>
  </si>
  <si>
    <t xml:space="preserve">M4-TC-226</t>
  </si>
  <si>
    <t xml:space="preserve">Executive Command Center: field exists in semantic model - Average Employer Reputation</t>
  </si>
  <si>
    <t xml:space="preserve">M4-TC-227</t>
  </si>
  <si>
    <t xml:space="preserve">Executive Command Center: field exists in semantic model - Average Global Score</t>
  </si>
  <si>
    <t xml:space="preserve">M4-TC-228</t>
  </si>
  <si>
    <t xml:space="preserve">Executive Command Center: field exists in semantic model - Average Rank Movement</t>
  </si>
  <si>
    <t xml:space="preserve">M4-TC-229</t>
  </si>
  <si>
    <t xml:space="preserve">Executive Command Center: field exists in semantic model - Average Research Impact</t>
  </si>
  <si>
    <t xml:space="preserve">M4-TC-230</t>
  </si>
  <si>
    <t xml:space="preserve">Executive Command Center: field exists in semantic model - Average Student Population</t>
  </si>
  <si>
    <t xml:space="preserve">M4-TC-231</t>
  </si>
  <si>
    <t xml:space="preserve">Executive Command Center: field exists in semantic model - Average Sustainability</t>
  </si>
  <si>
    <t xml:space="preserve">M4-TC-232</t>
  </si>
  <si>
    <t xml:space="preserve">Executive Command Center: field exists in semantic model - Country</t>
  </si>
  <si>
    <t xml:space="preserve">M4-TC-233</t>
  </si>
  <si>
    <t xml:space="preserve">Executive Command Center: field exists in semantic model - Country Count</t>
  </si>
  <si>
    <t xml:space="preserve">M4-TC-234</t>
  </si>
  <si>
    <t xml:space="preserve">Executive Command Center: field exists in semantic model - Focus</t>
  </si>
  <si>
    <t xml:space="preserve">M4-TC-235</t>
  </si>
  <si>
    <t xml:space="preserve">Executive Command Center: field exists in semantic model - Global Score Target</t>
  </si>
  <si>
    <t xml:space="preserve">Global Score Target</t>
  </si>
  <si>
    <t xml:space="preserve">M4-TC-236</t>
  </si>
  <si>
    <t xml:space="preserve">Executive Command Center: field exists in semantic model - Institution Status</t>
  </si>
  <si>
    <t xml:space="preserve">M4-TC-237</t>
  </si>
  <si>
    <t xml:space="preserve">Executive Command Center: field exists in semantic model - International Students %</t>
  </si>
  <si>
    <t xml:space="preserve">M4-TC-238</t>
  </si>
  <si>
    <t xml:space="preserve">Executive Command Center: field exists in semantic model - Region</t>
  </si>
  <si>
    <t xml:space="preserve">M4-TC-239</t>
  </si>
  <si>
    <t xml:space="preserve">Executive Command Center: field exists in semantic model - Research Activity</t>
  </si>
  <si>
    <t xml:space="preserve">M4-TC-240</t>
  </si>
  <si>
    <t xml:space="preserve">Executive Command Center: field exists in semantic model - Score Scale Maximum</t>
  </si>
  <si>
    <t xml:space="preserve">Score Scale Maximum</t>
  </si>
  <si>
    <t xml:space="preserve">M4-TC-241</t>
  </si>
  <si>
    <t xml:space="preserve">Executive Command Center: field exists in semantic model - Score Scale Minimum</t>
  </si>
  <si>
    <t xml:space="preserve">Score Scale Minimum</t>
  </si>
  <si>
    <t xml:space="preserve">M4-TC-242</t>
  </si>
  <si>
    <t xml:space="preserve">Executive Command Center: field exists in semantic model - Size</t>
  </si>
  <si>
    <t xml:space="preserve">M4-TC-243</t>
  </si>
  <si>
    <t xml:space="preserve">Executive Command Center: field exists in semantic model - University</t>
  </si>
  <si>
    <t xml:space="preserve">M4-TC-244</t>
  </si>
  <si>
    <t xml:space="preserve">Executive Command Center: field exists in semantic model - University Count</t>
  </si>
  <si>
    <t xml:space="preserve">M4-TC-245</t>
  </si>
  <si>
    <t xml:space="preserve">M7-D13</t>
  </si>
  <si>
    <t xml:space="preserve">Exact five-page order</t>
  </si>
  <si>
    <t xml:space="preserve">University Overview &gt; Research Analytics &gt; Student Analytics &gt; Country Comparison &gt; Executive Command Center</t>
  </si>
  <si>
    <t xml:space="preserve">M4-TC-246</t>
  </si>
  <si>
    <t xml:space="preserve">M7-D14</t>
  </si>
  <si>
    <t xml:space="preserve">Total report visuals</t>
  </si>
  <si>
    <t xml:space="preserve">110</t>
  </si>
  <si>
    <t xml:space="preserve">all visual.json files</t>
  </si>
  <si>
    <t xml:space="preserve">M4-TC-247</t>
  </si>
  <si>
    <t xml:space="preserve">M7-D15</t>
  </si>
  <si>
    <t xml:space="preserve">Active report bindings</t>
  </si>
  <si>
    <t xml:space="preserve">310</t>
  </si>
  <si>
    <t xml:space="preserve">all queryState projections</t>
  </si>
  <si>
    <t xml:space="preserve">M4-TC-248</t>
  </si>
  <si>
    <t xml:space="preserve">M7-D16</t>
  </si>
  <si>
    <t xml:space="preserve">Inactive report bindings</t>
  </si>
  <si>
    <t xml:space="preserve">M4-TC-249</t>
  </si>
  <si>
    <t xml:space="preserve">M7-D17</t>
  </si>
  <si>
    <t xml:space="preserve">Total KPI cards</t>
  </si>
  <si>
    <t xml:space="preserve">22</t>
  </si>
  <si>
    <t xml:space="preserve">card visual count</t>
  </si>
  <si>
    <t xml:space="preserve">M4-TC-250</t>
  </si>
  <si>
    <t xml:space="preserve">M7-D18</t>
  </si>
  <si>
    <t xml:space="preserve">Total page slicers</t>
  </si>
  <si>
    <t xml:space="preserve">30</t>
  </si>
  <si>
    <t xml:space="preserve">slicer count</t>
  </si>
  <si>
    <t xml:space="preserve">M4-TC-251</t>
  </si>
  <si>
    <t xml:space="preserve">M7-D19</t>
  </si>
  <si>
    <t xml:space="preserve">Total native navigators</t>
  </si>
  <si>
    <t xml:space="preserve">pageNavigator count</t>
  </si>
  <si>
    <t xml:space="preserve">M4-TC-252</t>
  </si>
  <si>
    <t xml:space="preserve">M7-D20</t>
  </si>
  <si>
    <t xml:space="preserve">Total standard maps</t>
  </si>
  <si>
    <t xml:space="preserve">map count</t>
  </si>
  <si>
    <t xml:space="preserve">M4-TC-253</t>
  </si>
  <si>
    <t xml:space="preserve">M7-D21</t>
  </si>
  <si>
    <t xml:space="preserve">Unique visual identifiers across report</t>
  </si>
  <si>
    <t xml:space="preserve">M4-TC-254</t>
  </si>
  <si>
    <t xml:space="preserve">M7-D22</t>
  </si>
  <si>
    <t xml:space="preserve">No sign-in-gated Azure Maps</t>
  </si>
  <si>
    <t xml:space="preserve">visual type inventory</t>
  </si>
  <si>
    <t xml:space="preserve">M4-TC-255</t>
  </si>
  <si>
    <t xml:space="preserve">M7-D23</t>
  </si>
  <si>
    <t xml:space="preserve">No blocked AI/cloud visuals</t>
  </si>
  <si>
    <t xml:space="preserve">M4-TC-256</t>
  </si>
  <si>
    <t xml:space="preserve">M7-S01</t>
  </si>
  <si>
    <t xml:space="preserve">Explicit DAX measures</t>
  </si>
  <si>
    <t xml:space="preserve">35</t>
  </si>
  <si>
    <t xml:space="preserve">M4-TC-257</t>
  </si>
  <si>
    <t xml:space="preserve">M7-S02</t>
  </si>
  <si>
    <t xml:space="preserve">Imported data columns</t>
  </si>
  <si>
    <t xml:space="preserve">M4-TC-258</t>
  </si>
  <si>
    <t xml:space="preserve">M7-S03</t>
  </si>
  <si>
    <t xml:space="preserve">Embedded Import partition</t>
  </si>
  <si>
    <t xml:space="preserve">Binary.Decompress and Binary.FromText</t>
  </si>
  <si>
    <t xml:space="preserve">M4-TC-259</t>
  </si>
  <si>
    <t xml:space="preserve">M7-S04</t>
  </si>
  <si>
    <t xml:space="preserve">No machine-specific File.Contents path</t>
  </si>
  <si>
    <t xml:space="preserve">absent</t>
  </si>
  <si>
    <t xml:space="preserve">M4-TC-260</t>
  </si>
  <si>
    <t xml:space="preserve">M7-S05</t>
  </si>
  <si>
    <t xml:space="preserve">No external data source object</t>
  </si>
  <si>
    <t xml:space="preserve">M4-TC-261</t>
  </si>
  <si>
    <t xml:space="preserve">M7-S06</t>
  </si>
  <si>
    <t xml:space="preserve">Model round-trip validation</t>
  </si>
  <si>
    <t xml:space="preserve">passed</t>
  </si>
  <si>
    <t xml:space="preserve">M4-TC-262</t>
  </si>
  <si>
    <t xml:space="preserve">M7-S07</t>
  </si>
  <si>
    <t xml:space="preserve">Compatibility level</t>
  </si>
  <si>
    <t xml:space="preserve">1702</t>
  </si>
  <si>
    <t xml:space="preserve">M4-TC-263</t>
  </si>
  <si>
    <t xml:space="preserve">M7-S08</t>
  </si>
  <si>
    <t xml:space="preserve">Single denormalized university table</t>
  </si>
  <si>
    <t xml:space="preserve">M4-TC-264</t>
  </si>
  <si>
    <t xml:space="preserve">M7-A01</t>
  </si>
  <si>
    <t xml:space="preserve">Dashboard storyboard exists</t>
  </si>
  <si>
    <t xml:space="preserve">non-empty PDF</t>
  </si>
  <si>
    <t xml:space="preserve">1265718</t>
  </si>
  <si>
    <t xml:space="preserve">M4-TC-265</t>
  </si>
  <si>
    <t xml:space="preserve">M7-A02</t>
  </si>
  <si>
    <t xml:space="preserve">Opening instructions exist</t>
  </si>
  <si>
    <t xml:space="preserve">README and OPEN_ME_FIRST</t>
  </si>
  <si>
    <t xml:space="preserve">approved project folder</t>
  </si>
  <si>
    <t xml:space="preserve">M4-TC-266</t>
  </si>
  <si>
    <t xml:space="preserve">M7-A03</t>
  </si>
  <si>
    <t xml:space="preserve">Beginner launcher exists</t>
  </si>
  <si>
    <t xml:space="preserve">M4-TC-267</t>
  </si>
  <si>
    <t xml:space="preserve">M7-UAT</t>
  </si>
  <si>
    <t xml:space="preserve">Open the PBIP project in current Power BI Desktop</t>
  </si>
  <si>
    <t xml:space="preserve">Project opens without report-definition error</t>
  </si>
  <si>
    <t xml:space="preserve">User confirmed working build</t>
  </si>
  <si>
    <t xml:space="preserve">Manual UAT / structural corroboration</t>
  </si>
  <si>
    <t xml:space="preserve">M4-TC-268</t>
  </si>
  <si>
    <t xml:space="preserve">Refresh the embedded Import model once</t>
  </si>
  <si>
    <t xml:space="preserve">All 1,120 records load without a local-file credential prompt</t>
  </si>
  <si>
    <t xml:space="preserve">Embedded model and populated dashboard confirmed</t>
  </si>
  <si>
    <t xml:space="preserve">M4-TC-269</t>
  </si>
  <si>
    <t xml:space="preserve">University Overview KPI cards</t>
  </si>
  <si>
    <t xml:space="preserve">1,120 universities; 93 countries; average score 57.1; maximum 100.0</t>
  </si>
  <si>
    <t xml:space="preserve">Values visible in supplied Power BI screenshot</t>
  </si>
  <si>
    <t xml:space="preserve">M4-TC-270</t>
  </si>
  <si>
    <t xml:space="preserve">Research Analytics KPI cards</t>
  </si>
  <si>
    <t xml:space="preserve">50.2 impact; 46.4 productivity; 59.9 quality; 33.0 citations</t>
  </si>
  <si>
    <t xml:space="preserve">M4-TC-271</t>
  </si>
  <si>
    <t xml:space="preserve">Student Analytics KPI cards</t>
  </si>
  <si>
    <t xml:space="preserve">25K population; 17.3 students/staff; 14.6% international; 36.6 diversity</t>
  </si>
  <si>
    <t xml:space="preserve">M4-TC-272</t>
  </si>
  <si>
    <t xml:space="preserve">Country Comparison KPI cards</t>
  </si>
  <si>
    <t xml:space="preserve">93 countries; 1,120 universities; 389 improved; 428 declined</t>
  </si>
  <si>
    <t xml:space="preserve">M4-TC-273</t>
  </si>
  <si>
    <t xml:space="preserve">University Overview charts</t>
  </si>
  <si>
    <t xml:space="preserve">Donut, regional benchmark, rank movement and scorecard display data</t>
  </si>
  <si>
    <t xml:space="preserve">Visuals visible in supplied screenshot</t>
  </si>
  <si>
    <t xml:space="preserve">M4-TC-274</t>
  </si>
  <si>
    <t xml:space="preserve">Research Analytics charts</t>
  </si>
  <si>
    <t xml:space="preserve">Scatter, treemap, regional comparison and institution ranking display data</t>
  </si>
  <si>
    <t xml:space="preserve">M4-TC-275</t>
  </si>
  <si>
    <t xml:space="preserve">Student Analytics charts</t>
  </si>
  <si>
    <t xml:space="preserve">Scatter, size mix, diversity benchmark, gauge and matrix display data</t>
  </si>
  <si>
    <t xml:space="preserve">M4-TC-276</t>
  </si>
  <si>
    <t xml:space="preserve">Country Comparison charts</t>
  </si>
  <si>
    <t xml:space="preserve">Performance, employability, waterfall, matrix and decomposition display data</t>
  </si>
  <si>
    <t xml:space="preserve">M4-TC-277</t>
  </si>
  <si>
    <t xml:space="preserve">Standard map rendering</t>
  </si>
  <si>
    <t xml:space="preserve">One map is available per dashboard after enabling Map/Filled Map security option</t>
  </si>
  <si>
    <t xml:space="preserve">Map visuals visible in supplied screenshots</t>
  </si>
  <si>
    <t xml:space="preserve">M4-TC-278</t>
  </si>
  <si>
    <t xml:space="preserve">Page navigator in edit mode</t>
  </si>
  <si>
    <t xml:space="preserve">Ctrl+click changes pages</t>
  </si>
  <si>
    <t xml:space="preserve">Required Power BI Desktop interaction documented</t>
  </si>
  <si>
    <t xml:space="preserve">M4-TC-279</t>
  </si>
  <si>
    <t xml:space="preserve">Page navigator in reading mode</t>
  </si>
  <si>
    <t xml:space="preserve">Single click changes pages</t>
  </si>
  <si>
    <t xml:space="preserve">Native page navigator contract</t>
  </si>
  <si>
    <t xml:space="preserve">M4-TC-280</t>
  </si>
  <si>
    <t xml:space="preserve">Region slicer</t>
  </si>
  <si>
    <t xml:space="preserve">All page visuals filter to the selected region</t>
  </si>
  <si>
    <t xml:space="preserve">Global slicer binding present on every page</t>
  </si>
  <si>
    <t xml:space="preserve">M4-TC-281</t>
  </si>
  <si>
    <t xml:space="preserve">Country slicer</t>
  </si>
  <si>
    <t xml:space="preserve">All page visuals filter to selected country/countries</t>
  </si>
  <si>
    <t xml:space="preserve">Country multi-select design present</t>
  </si>
  <si>
    <t xml:space="preserve">M4-TC-282</t>
  </si>
  <si>
    <t xml:space="preserve">Size, Focus, Research and Status slicers</t>
  </si>
  <si>
    <t xml:space="preserve">Each selection updates cards, graphs and matrices on that page</t>
  </si>
  <si>
    <t xml:space="preserve">Six-slicer page contracts verified</t>
  </si>
  <si>
    <t xml:space="preserve">M4-TC-283</t>
  </si>
  <si>
    <t xml:space="preserve">Cross-filter from chart mark</t>
  </si>
  <si>
    <t xml:space="preserve">Related visuals update to the selected category</t>
  </si>
  <si>
    <t xml:space="preserve">Active projection contract verified</t>
  </si>
  <si>
    <t xml:space="preserve">M4-TC-284</t>
  </si>
  <si>
    <t xml:space="preserve">Clear slicer selections</t>
  </si>
  <si>
    <t xml:space="preserve">Page returns to full 1,120-university context</t>
  </si>
  <si>
    <t xml:space="preserve">No hidden persistent report filter defined</t>
  </si>
  <si>
    <t xml:space="preserve">M4-TC-285</t>
  </si>
  <si>
    <t xml:space="preserve">Save refreshed project as PBIX</t>
  </si>
  <si>
    <t xml:space="preserve">Loaded data and report pages persist in a single PBIX file</t>
  </si>
  <si>
    <t xml:space="preserve">User previously confirmed PBIX save</t>
  </si>
  <si>
    <t xml:space="preserve">M4-TC-286</t>
  </si>
  <si>
    <t xml:space="preserve">Reopen saved PBIX</t>
  </si>
  <si>
    <t xml:space="preserve">Dashboard remains populated without repeating first-load setup</t>
  </si>
  <si>
    <t xml:space="preserve">User previously confirmed ongoing PBIX workflow</t>
  </si>
  <si>
    <t xml:space="preserve">M4-TC-287</t>
  </si>
  <si>
    <t xml:space="preserve">M8-H01</t>
  </si>
  <si>
    <t xml:space="preserve">Required deliverable: EduVision_Module_7_QA_Master.xlsx</t>
  </si>
  <si>
    <t xml:space="preserve">present and non-empty</t>
  </si>
  <si>
    <t xml:space="preserve">95012</t>
  </si>
  <si>
    <t xml:space="preserve">MODULE_07_QA_TESTING/EduVision_Module_7_QA_Master.xlsx</t>
  </si>
  <si>
    <t xml:space="preserve">M4-TC-288</t>
  </si>
  <si>
    <t xml:space="preserve">Required deliverable: EduVision_Module_7_Detailed_Testing_Report.docx</t>
  </si>
  <si>
    <t xml:space="preserve">422698</t>
  </si>
  <si>
    <t xml:space="preserve">MODULE_07_QA_TESTING/EduVision_Module_7_Detailed_Testing_Report.docx</t>
  </si>
  <si>
    <t xml:space="preserve">M4-TC-289</t>
  </si>
  <si>
    <t xml:space="preserve">Required deliverable: EduVision_Module_7_Detailed_Testing_Report.pdf</t>
  </si>
  <si>
    <t xml:space="preserve">719550</t>
  </si>
  <si>
    <t xml:space="preserve">MODULE_07_QA_TESTING/EduVision_Module_7_Detailed_Testing_Report.pdf</t>
  </si>
  <si>
    <t xml:space="preserve">M4-TC-290</t>
  </si>
  <si>
    <t xml:space="preserve">Required deliverable: EduVision_Module_8_Final_Technical_Documentation.docx</t>
  </si>
  <si>
    <t xml:space="preserve">719341</t>
  </si>
  <si>
    <t xml:space="preserve">MODULE_08_FINAL_HANDOVER/EduVision_Module_8_Final_Technical_Documentation.docx</t>
  </si>
  <si>
    <t xml:space="preserve">M4-TC-291</t>
  </si>
  <si>
    <t xml:space="preserve">Required deliverable: EduVision_Module_8_Final_Technical_Documentation.pdf</t>
  </si>
  <si>
    <t xml:space="preserve">970905</t>
  </si>
  <si>
    <t xml:space="preserve">MODULE_08_FINAL_HANDOVER/EduVision_Module_8_Final_Technical_Documentation.pdf</t>
  </si>
  <si>
    <t xml:space="preserve">M4-TC-292</t>
  </si>
  <si>
    <t xml:space="preserve">Required deliverable: EduVision_User_Operations_and_Maintenance_Guide.docx</t>
  </si>
  <si>
    <t xml:space="preserve">45247</t>
  </si>
  <si>
    <t xml:space="preserve">MODULE_08_FINAL_HANDOVER/EduVision_User_Operations_and_Maintenance_Guide.docx</t>
  </si>
  <si>
    <t xml:space="preserve">M4-TC-293</t>
  </si>
  <si>
    <t xml:space="preserve">Required deliverable: EduVision_User_Operations_and_Maintenance_Guide.pdf</t>
  </si>
  <si>
    <t xml:space="preserve">266297</t>
  </si>
  <si>
    <t xml:space="preserve">MODULE_08_FINAL_HANDOVER/EduVision_User_Operations_and_Maintenance_Guide.pdf</t>
  </si>
  <si>
    <t xml:space="preserve">M4-TC-294</t>
  </si>
  <si>
    <t xml:space="preserve">Required deliverable: EduVision_Milestone_4_Final_Presentation.pptx</t>
  </si>
  <si>
    <t xml:space="preserve">1175440</t>
  </si>
  <si>
    <t xml:space="preserve">MODULE_08_FINAL_HANDOVER/EduVision_Milestone_4_Final_Presentation.pptx</t>
  </si>
  <si>
    <t xml:space="preserve">M4-TC-295</t>
  </si>
  <si>
    <t xml:space="preserve">Required deliverable: EduVision_Milestone_4_Presentation_Readout.docx</t>
  </si>
  <si>
    <t xml:space="preserve">41266</t>
  </si>
  <si>
    <t xml:space="preserve">MODULE_08_FINAL_HANDOVER/EduVision_Milestone_4_Presentation_Readout.docx</t>
  </si>
  <si>
    <t xml:space="preserve">M4-TC-296</t>
  </si>
  <si>
    <t xml:space="preserve">Required deliverable: EduVision_Milestone_4_Presentation_Readout.pdf</t>
  </si>
  <si>
    <t xml:space="preserve">113254</t>
  </si>
  <si>
    <t xml:space="preserve">MODULE_08_FINAL_HANDOVER/EduVision_Milestone_4_Presentation_Readout.pdf</t>
  </si>
  <si>
    <t xml:space="preserve">M4-TC-297</t>
  </si>
  <si>
    <t xml:space="preserve">Required deliverable: README_FINAL_HANDOVER.md</t>
  </si>
  <si>
    <t xml:space="preserve">2769</t>
  </si>
  <si>
    <t xml:space="preserve">MODULE_08_FINAL_HANDOVER/README_FINAL_HANDOVER.md</t>
  </si>
  <si>
    <t xml:space="preserve">M4-TC-298</t>
  </si>
  <si>
    <t xml:space="preserve">Required deliverable: RELEASE_NOTES.md</t>
  </si>
  <si>
    <t xml:space="preserve">3337</t>
  </si>
  <si>
    <t xml:space="preserve">MODULE_08_FINAL_HANDOVER/RELEASE_NOTES.md</t>
  </si>
  <si>
    <t xml:space="preserve">M4-TC-299</t>
  </si>
  <si>
    <t xml:space="preserve">Required deliverable: HANDOVER_CHECKLIST.md</t>
  </si>
  <si>
    <t xml:space="preserve">2806</t>
  </si>
  <si>
    <t xml:space="preserve">MODULE_08_FINAL_HANDOVER/HANDOVER_CHECKLIST.md</t>
  </si>
  <si>
    <t xml:space="preserve">M4-TC-300</t>
  </si>
  <si>
    <t xml:space="preserve">Required deliverable: 00_READ_ME_FIRST.md</t>
  </si>
  <si>
    <t xml:space="preserve">3796</t>
  </si>
  <si>
    <t xml:space="preserve">00_READ_ME_FIRST.md</t>
  </si>
  <si>
    <t xml:space="preserve">Requirements Traceability Matrix</t>
  </si>
  <si>
    <t xml:space="preserve">Every Milestone 4 requirement is mapped to executed tests and retained evidence.</t>
  </si>
  <si>
    <t xml:space="preserve">Area</t>
  </si>
  <si>
    <t xml:space="preserve">Representative Requirement</t>
  </si>
  <si>
    <t xml:space="preserve">Test Count</t>
  </si>
  <si>
    <t xml:space="preserve">Pass Count</t>
  </si>
  <si>
    <t xml:space="preserve">Fail Count</t>
  </si>
  <si>
    <t xml:space="preserve">Principal Evidence</t>
  </si>
  <si>
    <t xml:space="preserve">Highest Global Score, Average Global Score, Country Count, University Count; Average Citations per Faculty, Average Research Productivity, Average Research Quality, Average Research Impact; Average Student Population, Average Student Diversity, International Students %, Average Students to Staff</t>
  </si>
  <si>
    <t xml:space="preserve">Global University Footprint by Country; Global Research Impact Map; International Student and Diversity Map</t>
  </si>
  <si>
    <t xml:space="preserve">Average Global Score, Average Academic Reputation, Average Research Impact; University Count, Average Research Productivity, Average Research Quality, Average Citations per Faculty; University Count, Average Student Population, Average Student Diversity, Average Students to Staff</t>
  </si>
  <si>
    <t xml:space="preserve">User confirmed working build; Embedded model and populated dashboard confirmed; Values visible in supplied Power BI screenshot</t>
  </si>
  <si>
    <t xml:space="preserve">MODULE_07_QA_TESTING/EduVision_Module_7_QA_Master.xlsx; MODULE_07_QA_TESTING/EduVision_Module_7_Detailed_Testing_Report.docx; MODULE_07_QA_TESTING/EduVision_Module_7_Detailed_Testing_Report.pdf</t>
  </si>
  <si>
    <t xml:space="preserve">Data Quality and Integrity Tests</t>
  </si>
  <si>
    <t xml:space="preserve">Source completeness, cleaning, duplicate control, year scope, value ranges and non-fabrication controls.</t>
  </si>
  <si>
    <t xml:space="preserve">Requirement</t>
  </si>
  <si>
    <t xml:space="preserve">Scenario</t>
  </si>
  <si>
    <t xml:space="preserve">Expected</t>
  </si>
  <si>
    <t xml:space="preserve">Actual</t>
  </si>
  <si>
    <t xml:space="preserve">Method</t>
  </si>
  <si>
    <t xml:space="preserve">Dashboard Functional and Binding Tests</t>
  </si>
  <si>
    <t xml:space="preserve">Page contracts, controls, visual field references, map roles, portability and report integration.</t>
  </si>
  <si>
    <t xml:space="preserve">User Acceptance Test Register</t>
  </si>
  <si>
    <t xml:space="preserve">Observed Power BI behaviour corroborated by user confirmation, supplied screenshots and structural bindings.</t>
  </si>
  <si>
    <t xml:space="preserve">Six-KPI Reconciliation Evidence</t>
  </si>
  <si>
    <t xml:space="preserve">All six engineered KPIs reproduce exactly for every one of the 1,120 universities.</t>
  </si>
  <si>
    <t xml:space="preserve">KPI</t>
  </si>
  <si>
    <t xml:space="preserve">Rows Checked</t>
  </si>
  <si>
    <t xml:space="preserve">Matching Rows</t>
  </si>
  <si>
    <t xml:space="preserve">Accuracy</t>
  </si>
  <si>
    <t xml:space="preserve">Maximum Difference</t>
  </si>
  <si>
    <t xml:space="preserve">Formula Basis</t>
  </si>
  <si>
    <t xml:space="preserve">Interpretation</t>
  </si>
  <si>
    <t xml:space="preserve">KPI_Global_Ranking_Score</t>
  </si>
  <si>
    <t xml:space="preserve">AVERAGE(QS normalized, THE normalized)</t>
  </si>
  <si>
    <t xml:space="preserve">Combined ranking strength; higher is better.</t>
  </si>
  <si>
    <t xml:space="preserve">KPI_Research_Impact_Score</t>
  </si>
  <si>
    <t xml:space="preserve">35% citations + 45% quality + 20% industry</t>
  </si>
  <si>
    <t xml:space="preserve">Research influence and practical impact.</t>
  </si>
  <si>
    <t xml:space="preserve">KPI_Faculty_to_Student_Ratio</t>
  </si>
  <si>
    <t xml:space="preserve">1 / Students-to-Staff Ratio</t>
  </si>
  <si>
    <t xml:space="preserve">Faculty availability per student.</t>
  </si>
  <si>
    <t xml:space="preserve">KPI_International_Student_Percentage</t>
  </si>
  <si>
    <t xml:space="preserve">International student share × 100</t>
  </si>
  <si>
    <t xml:space="preserve">International participation in percentage points.</t>
  </si>
  <si>
    <t xml:space="preserve">KPI_Academic_Reputation_Score</t>
  </si>
  <si>
    <t xml:space="preserve">Supplied academic reputation score</t>
  </si>
  <si>
    <t xml:space="preserve">Source-aligned reputation measure.</t>
  </si>
  <si>
    <t xml:space="preserve">KPI_Research_Productivity_Index</t>
  </si>
  <si>
    <t xml:space="preserve">30% quality + 25% environment + 20% citations + 15% network + 10% industry</t>
  </si>
  <si>
    <t xml:space="preserve">Research productivity proxy; not publication totals.</t>
  </si>
  <si>
    <t xml:space="preserve">LIMITATION CONTROL: The source contains no publication-count field. The Research Productivity Index is explicitly documented as a weighted indicator proxy and no publication totals are fabricated.</t>
  </si>
  <si>
    <t xml:space="preserve">Approved Dashboard Release Inventory</t>
  </si>
  <si>
    <t xml:space="preserve">Exact structure of the preserved 5-page, 110-visual, standard-map Power BI release.</t>
  </si>
  <si>
    <t xml:space="preserve">Page</t>
  </si>
  <si>
    <t xml:space="preserve">Width</t>
  </si>
  <si>
    <t xml:space="preserve">Height</t>
  </si>
  <si>
    <t xml:space="preserve">Visuals</t>
  </si>
  <si>
    <t xml:space="preserve">Navigator</t>
  </si>
  <si>
    <t xml:space="preserve">Map</t>
  </si>
  <si>
    <t xml:space="preserve">Inactive</t>
  </si>
  <si>
    <t xml:space="preserve">KPI Measures</t>
  </si>
  <si>
    <t xml:space="preserve">University Overview</t>
  </si>
  <si>
    <t xml:space="preserve">Highest Global Score; Average Global Score; Country Count; University Count</t>
  </si>
  <si>
    <t xml:space="preserve">Research Analytics</t>
  </si>
  <si>
    <t xml:space="preserve">Average Citations per Faculty; Average Research Productivity; Average Research Quality; Average Research Impact</t>
  </si>
  <si>
    <t xml:space="preserve">Student Analytics</t>
  </si>
  <si>
    <t xml:space="preserve">Average Student Population; Average Student Diversity; International Students %; Average Students to Staff</t>
  </si>
  <si>
    <t xml:space="preserve">Country Comparison</t>
  </si>
  <si>
    <t xml:space="preserve">Declined Universities; Country Count; Improved Universities; University Count</t>
  </si>
  <si>
    <t xml:space="preserve">Executive Command Center</t>
  </si>
  <si>
    <t xml:space="preserve">Average Sustainability; University Count; Country Count; International Students %; Average Global Score; Average Research Impact</t>
  </si>
  <si>
    <t xml:space="preserve">Visual Type</t>
  </si>
  <si>
    <t xml:space="preserve">Count</t>
  </si>
  <si>
    <t xml:space="preserve">Purpose / Control</t>
  </si>
  <si>
    <t xml:space="preserve">card</t>
  </si>
  <si>
    <t xml:space="preserve">Primary KPI callouts</t>
  </si>
  <si>
    <t xml:space="preserve">clusteredBarChart</t>
  </si>
  <si>
    <t xml:space="preserve">Institution/country ranking</t>
  </si>
  <si>
    <t xml:space="preserve">clusteredColumnChart</t>
  </si>
  <si>
    <t xml:space="preserve">Regional benchmarking</t>
  </si>
  <si>
    <t xml:space="preserve">decompositionTreeVisual</t>
  </si>
  <si>
    <t xml:space="preserve">Interactive contribution analysis</t>
  </si>
  <si>
    <t xml:space="preserve">donutChart</t>
  </si>
  <si>
    <t xml:space="preserve">Composition</t>
  </si>
  <si>
    <t xml:space="preserve">funnel</t>
  </si>
  <si>
    <t xml:space="preserve">Institution scale</t>
  </si>
  <si>
    <t xml:space="preserve">gauge</t>
  </si>
  <si>
    <t xml:space="preserve">Benchmark target</t>
  </si>
  <si>
    <t xml:space="preserve">hundredPercentStackedBarChart</t>
  </si>
  <si>
    <t xml:space="preserve">Share composition</t>
  </si>
  <si>
    <t xml:space="preserve">lineClusteredColumnComboChart</t>
  </si>
  <si>
    <t xml:space="preserve">Multi-measure comparison</t>
  </si>
  <si>
    <t xml:space="preserve">map</t>
  </si>
  <si>
    <t xml:space="preserve">Country-level geographic comparison</t>
  </si>
  <si>
    <t xml:space="preserve">pageNavigator</t>
  </si>
  <si>
    <t xml:space="preserve">Native navigation</t>
  </si>
  <si>
    <t xml:space="preserve">pieChart</t>
  </si>
  <si>
    <t xml:space="preserve">Status composition</t>
  </si>
  <si>
    <t xml:space="preserve">pivotTable</t>
  </si>
  <si>
    <t xml:space="preserve">Detailed scorecards and matrices</t>
  </si>
  <si>
    <t xml:space="preserve">ribbonChart</t>
  </si>
  <si>
    <t xml:space="preserve">Comparative ranking</t>
  </si>
  <si>
    <t xml:space="preserve">scatterChart</t>
  </si>
  <si>
    <t xml:space="preserve">Relationship and outlier analysis</t>
  </si>
  <si>
    <t xml:space="preserve">slicer</t>
  </si>
  <si>
    <t xml:space="preserve">Page filters</t>
  </si>
  <si>
    <t xml:space="preserve">stackedAreaChart</t>
  </si>
  <si>
    <t xml:space="preserve">Composition across size</t>
  </si>
  <si>
    <t xml:space="preserve">textbox</t>
  </si>
  <si>
    <t xml:space="preserve">Titles and instructions</t>
  </si>
  <si>
    <t xml:space="preserve">treemap</t>
  </si>
  <si>
    <t xml:space="preserve">Hierarchical composition</t>
  </si>
  <si>
    <t xml:space="preserve">waterfallChart</t>
  </si>
  <si>
    <t xml:space="preserve">Positive/negative rank movement</t>
  </si>
  <si>
    <t xml:space="preserve">Defect and Resolution Log</t>
  </si>
  <si>
    <t xml:space="preserve">Historical issues are retained as regression evidence; all release-blocking defects are closed.</t>
  </si>
  <si>
    <t xml:space="preserve">Defect ID</t>
  </si>
  <si>
    <t xml:space="preserve">Observed Issue</t>
  </si>
  <si>
    <t xml:space="preserve">Root Cause</t>
  </si>
  <si>
    <t xml:space="preserve">Corrective Action</t>
  </si>
  <si>
    <t xml:space="preserve">Regression Test</t>
  </si>
  <si>
    <t xml:space="preserve">Detected</t>
  </si>
  <si>
    <t xml:space="preserve">Closed</t>
  </si>
  <si>
    <t xml:space="preserve">Residual Note</t>
  </si>
  <si>
    <t xml:space="preserve">DEF-001</t>
  </si>
  <si>
    <t xml:space="preserve">PBIP opened with blank visuals</t>
  </si>
  <si>
    <t xml:space="preserve">PBIP project had no processed cache.abf</t>
  </si>
  <si>
    <t xml:space="preserve">Embedded Import query retained; refresh-once and PBIX save workflow documented</t>
  </si>
  <si>
    <t xml:space="preserve">M7-S03 / UAT refresh</t>
  </si>
  <si>
    <t xml:space="preserve">CLOSED</t>
  </si>
  <si>
    <t xml:space="preserve">2026-08-21</t>
  </si>
  <si>
    <t xml:space="preserve">First PBIP refresh remains a platform requirement</t>
  </si>
  <si>
    <t xml:space="preserve">DEF-002</t>
  </si>
  <si>
    <t xml:space="preserve">KPI cards displayed empty containers</t>
  </si>
  <si>
    <t xml:space="preserve">Modern card bindings were ignored by Desktop runtime</t>
  </si>
  <si>
    <t xml:space="preserve">Replaced with stable single-measure card visual</t>
  </si>
  <si>
    <t xml:space="preserve">M7-D06 / M7-D11</t>
  </si>
  <si>
    <t xml:space="preserve">All 22 cards now use active Values bindings</t>
  </si>
  <si>
    <t xml:space="preserve">DEF-003</t>
  </si>
  <si>
    <t xml:space="preserve">Charts had headings but no numeric values</t>
  </si>
  <si>
    <t xml:space="preserve">Numeric projections were inactive</t>
  </si>
  <si>
    <t xml:space="preserve">Activated every numeric projection</t>
  </si>
  <si>
    <t xml:space="preserve">M7-D09 / M7-D16</t>
  </si>
  <si>
    <t xml:space="preserve">310/310 bindings active</t>
  </si>
  <si>
    <t xml:space="preserve">DEF-004</t>
  </si>
  <si>
    <t xml:space="preserve">Scorecards showed headers without rows</t>
  </si>
  <si>
    <t xml:space="preserve">Incorrect table binding structure</t>
  </si>
  <si>
    <t xml:space="preserve">Rebuilt as pivot matrices with Rows and Values roles</t>
  </si>
  <si>
    <t xml:space="preserve">Matrix fields validated against model</t>
  </si>
  <si>
    <t xml:space="preserve">DEF-005</t>
  </si>
  <si>
    <t xml:space="preserve">Azure Maps requested Power BI sign-in</t>
  </si>
  <si>
    <t xml:space="preserve">Azure Maps visual has an account/tenant gate</t>
  </si>
  <si>
    <t xml:space="preserve">Replaced five Azure Maps with standard Bing map visuals</t>
  </si>
  <si>
    <t xml:space="preserve">M7-D22 / M7-M01</t>
  </si>
  <si>
    <t xml:space="preserve">2026-08-25</t>
  </si>
  <si>
    <t xml:space="preserve">Internet and Map/Filled Map security option still required</t>
  </si>
  <si>
    <t xml:space="preserve">DEF-006</t>
  </si>
  <si>
    <t xml:space="preserve">Navigation seemed inactive in edit mode</t>
  </si>
  <si>
    <t xml:space="preserve">Power BI Desktop requires Ctrl+click in editing mode</t>
  </si>
  <si>
    <t xml:space="preserve">Added explicit header instruction and user guide</t>
  </si>
  <si>
    <t xml:space="preserve">UAT navigation cases</t>
  </si>
  <si>
    <t xml:space="preserve">Medium</t>
  </si>
  <si>
    <t xml:space="preserve">Single click works in reading mode</t>
  </si>
  <si>
    <t xml:space="preserve">DEF-007</t>
  </si>
  <si>
    <t xml:space="preserve">Risk of broken Excel file path on another computer</t>
  </si>
  <si>
    <t xml:space="preserve">Traditional File.Contents path would be machine-specific</t>
  </si>
  <si>
    <t xml:space="preserve">Embedded compressed Import data in the semantic model</t>
  </si>
  <si>
    <t xml:space="preserve">M7-S03 / M7-S04</t>
  </si>
  <si>
    <t xml:space="preserve">No machine-specific data path remains</t>
  </si>
  <si>
    <t xml:space="preserve">DEF-008</t>
  </si>
  <si>
    <t xml:space="preserve">Blank white visual containers</t>
  </si>
  <si>
    <t xml:space="preserve">Unsupported or unbound visual definitions</t>
  </si>
  <si>
    <t xml:space="preserve">Removed empty containers and used native bound visuals</t>
  </si>
  <si>
    <t xml:space="preserve">M7-D04 / M7-F01</t>
  </si>
  <si>
    <t xml:space="preserve">110 report elements have valid definitions</t>
  </si>
  <si>
    <t xml:space="preserve">DEF-009</t>
  </si>
  <si>
    <t xml:space="preserve">Map could be disabled locally</t>
  </si>
  <si>
    <t xml:space="preserve">Power BI Security setting can disable Map/Filled Map</t>
  </si>
  <si>
    <t xml:space="preserve">Added exact enable-and-restart instruction</t>
  </si>
  <si>
    <t xml:space="preserve">UAT standard map case</t>
  </si>
  <si>
    <t xml:space="preserve">Configuration dependency is documented</t>
  </si>
  <si>
    <t xml:space="preserve">DEF-010</t>
  </si>
  <si>
    <t xml:space="preserve">Automatic page refresh expected for Excel Import data</t>
  </si>
  <si>
    <t xml:space="preserve">Power BI Import mode does not support automatic page refresh</t>
  </si>
  <si>
    <t xml:space="preserve">Documented manual refresh and refresh-on-open expectations</t>
  </si>
  <si>
    <t xml:space="preserve">Operations guide refresh SOP</t>
  </si>
  <si>
    <t xml:space="preserve">No unsupported automation claim is made</t>
  </si>
  <si>
    <t xml:space="preserve">Operational Risk Register</t>
  </si>
  <si>
    <t xml:space="preserve">Known data, platform, usability and maintenance risks with assigned controls and residual ratings.</t>
  </si>
  <si>
    <t xml:space="preserve">Risk ID</t>
  </si>
  <si>
    <t xml:space="preserve">Risk</t>
  </si>
  <si>
    <t xml:space="preserve">Likelihood</t>
  </si>
  <si>
    <t xml:space="preserve">Impact</t>
  </si>
  <si>
    <t xml:space="preserve">Inherent Rating</t>
  </si>
  <si>
    <t xml:space="preserve">Primary Control</t>
  </si>
  <si>
    <t xml:space="preserve">Residual Rating</t>
  </si>
  <si>
    <t xml:space="preserve">Owner</t>
  </si>
  <si>
    <t xml:space="preserve">Review Trigger</t>
  </si>
  <si>
    <t xml:space="preserve">RSK-01</t>
  </si>
  <si>
    <t xml:space="preserve">Bing map tiles unavailable without internet</t>
  </si>
  <si>
    <t xml:space="preserve">Low</t>
  </si>
  <si>
    <t xml:space="preserve">All non-map analytics remain functional; document internet dependency</t>
  </si>
  <si>
    <t xml:space="preserve">Report owner</t>
  </si>
  <si>
    <t xml:space="preserve">Map does not render</t>
  </si>
  <si>
    <t xml:space="preserve">CONTROLLED</t>
  </si>
  <si>
    <t xml:space="preserve">RSK-02</t>
  </si>
  <si>
    <t xml:space="preserve">Map/Filled Map security option disabled</t>
  </si>
  <si>
    <t xml:space="preserve">Enable option under Global &gt; Security and restart Desktop</t>
  </si>
  <si>
    <t xml:space="preserve">Desktop user</t>
  </si>
  <si>
    <t xml:space="preserve">Blank map visual</t>
  </si>
  <si>
    <t xml:space="preserve">RSK-03</t>
  </si>
  <si>
    <t xml:space="preserve">First PBIP refresh omitted</t>
  </si>
  <si>
    <t xml:space="preserve">START_HERE launcher and first-open checklist</t>
  </si>
  <si>
    <t xml:space="preserve">Grey refresh banner</t>
  </si>
  <si>
    <t xml:space="preserve">RSK-04</t>
  </si>
  <si>
    <t xml:space="preserve">Old PBIX opened instead of approved build</t>
  </si>
  <si>
    <t xml:space="preserve">Release naming, checksum and archive isolation</t>
  </si>
  <si>
    <t xml:space="preserve">Project owner</t>
  </si>
  <si>
    <t xml:space="preserve">Visual counts do not match 110</t>
  </si>
  <si>
    <t xml:space="preserve">RSK-05</t>
  </si>
  <si>
    <t xml:space="preserve">Source schema changes during future refresh</t>
  </si>
  <si>
    <t xml:space="preserve">Run Module 7 validator before release; preserve 35 model fields</t>
  </si>
  <si>
    <t xml:space="preserve">Data owner</t>
  </si>
  <si>
    <t xml:space="preserve">Column addition/removal</t>
  </si>
  <si>
    <t xml:space="preserve">MONITORED</t>
  </si>
  <si>
    <t xml:space="preserve">RSK-06</t>
  </si>
  <si>
    <t xml:space="preserve">2026 snapshot misread as multi-year trend</t>
  </si>
  <si>
    <t xml:space="preserve">Explicit 2026-only limitation on reports and documentation</t>
  </si>
  <si>
    <t xml:space="preserve">Presenter</t>
  </si>
  <si>
    <t xml:space="preserve">Trend interpretation request</t>
  </si>
  <si>
    <t xml:space="preserve">RSK-07</t>
  </si>
  <si>
    <t xml:space="preserve">Research productivity misread as publication volume</t>
  </si>
  <si>
    <t xml:space="preserve">Document weighted proxy formula and no-publication constraint</t>
  </si>
  <si>
    <t xml:space="preserve">Publication-count question</t>
  </si>
  <si>
    <t xml:space="preserve">RSK-08</t>
  </si>
  <si>
    <t xml:space="preserve">Country geocoding ambiguity</t>
  </si>
  <si>
    <t xml:space="preserve">Country data category and standardized country names</t>
  </si>
  <si>
    <t xml:space="preserve">Unexpected map placement</t>
  </si>
  <si>
    <t xml:space="preserve">RSK-09</t>
  </si>
  <si>
    <t xml:space="preserve">Hidden slicer state creates confusing comparison</t>
  </si>
  <si>
    <t xml:space="preserve">Clear slicers before baseline comparison; verify headline totals</t>
  </si>
  <si>
    <t xml:space="preserve">Analyst</t>
  </si>
  <si>
    <t xml:space="preserve">KPI total differs from baseline</t>
  </si>
  <si>
    <t xml:space="preserve">RSK-10</t>
  </si>
  <si>
    <t xml:space="preserve">Power BI version changes PBIR runtime behaviour</t>
  </si>
  <si>
    <t xml:space="preserve">Open and regression-test in current Desktop before submission</t>
  </si>
  <si>
    <t xml:space="preserve">Desktop upgrade</t>
  </si>
  <si>
    <t xml:space="preserve">RSK-11</t>
  </si>
  <si>
    <t xml:space="preserve">Large page requires scrolling</t>
  </si>
  <si>
    <t xml:space="preserve">Fit-to-width layout and clear section order</t>
  </si>
  <si>
    <t xml:space="preserve">User misses lower visual</t>
  </si>
  <si>
    <t xml:space="preserve">ACCEPTED</t>
  </si>
  <si>
    <t xml:space="preserve">RSK-12</t>
  </si>
  <si>
    <t xml:space="preserve">Colour-based interpretation may affect accessibility</t>
  </si>
  <si>
    <t xml:space="preserve">Use labels, legends, tooltips and tables in addition to colour</t>
  </si>
  <si>
    <t xml:space="preserve">Accessibility review</t>
  </si>
  <si>
    <t xml:space="preserve">Milestone 4 Release Checklist</t>
  </si>
  <si>
    <t xml:space="preserve">Submission gates for data, dashboard, documentation, portability, reproducibility and handover.</t>
  </si>
  <si>
    <t xml:space="preserve">Gate ID</t>
  </si>
  <si>
    <t xml:space="preserve">Release Gate</t>
  </si>
  <si>
    <t xml:space="preserve">Acceptance Criterion</t>
  </si>
  <si>
    <t xml:space="preserve">Remarks</t>
  </si>
  <si>
    <t xml:space="preserve">REL-01</t>
  </si>
  <si>
    <t xml:space="preserve">Approved ZIP integrity</t>
  </si>
  <si>
    <t xml:space="preserve">Checksum matches approved build</t>
  </si>
  <si>
    <t xml:space="preserve">module7_validation.json</t>
  </si>
  <si>
    <t xml:space="preserve">QA owner</t>
  </si>
  <si>
    <t xml:space="preserve">REL-02</t>
  </si>
  <si>
    <t xml:space="preserve">Dataset population</t>
  </si>
  <si>
    <t xml:space="preserve">1,120 universities</t>
  </si>
  <si>
    <t xml:space="preserve">university_final_dataset.csv</t>
  </si>
  <si>
    <t xml:space="preserve">Exact</t>
  </si>
  <si>
    <t xml:space="preserve">REL-03</t>
  </si>
  <si>
    <t xml:space="preserve">Country and region coverage</t>
  </si>
  <si>
    <t xml:space="preserve">93 countries; 5 regions</t>
  </si>
  <si>
    <t xml:space="preserve">REL-04</t>
  </si>
  <si>
    <t xml:space="preserve">Reporting-year control</t>
  </si>
  <si>
    <t xml:space="preserve">Data Quality sheet</t>
  </si>
  <si>
    <t xml:space="preserve">No fabricated years</t>
  </si>
  <si>
    <t xml:space="preserve">REL-05</t>
  </si>
  <si>
    <t xml:space="preserve">Raw completeness</t>
  </si>
  <si>
    <t xml:space="preserve">raw_data_profile.json</t>
  </si>
  <si>
    <t xml:space="preserve">REL-06</t>
  </si>
  <si>
    <t xml:space="preserve">Cleaned missingness</t>
  </si>
  <si>
    <t xml:space="preserve">cleaning_audit.json</t>
  </si>
  <si>
    <t xml:space="preserve">REL-07</t>
  </si>
  <si>
    <t xml:space="preserve">Duplicate control</t>
  </si>
  <si>
    <t xml:space="preserve">0 duplicate institution-country-year keys</t>
  </si>
  <si>
    <t xml:space="preserve">REL-08</t>
  </si>
  <si>
    <t xml:space="preserve">6 KPIs × 1,120 rows at 100%</t>
  </si>
  <si>
    <t xml:space="preserve">KPI Reconciliation sheet</t>
  </si>
  <si>
    <t xml:space="preserve">6,720 exact comparisons</t>
  </si>
  <si>
    <t xml:space="preserve">REL-09</t>
  </si>
  <si>
    <t xml:space="preserve">Page inventory</t>
  </si>
  <si>
    <t xml:space="preserve">Five pages in approved order</t>
  </si>
  <si>
    <t xml:space="preserve">Dashboard Inventory sheet</t>
  </si>
  <si>
    <t xml:space="preserve">REL-10</t>
  </si>
  <si>
    <t xml:space="preserve">Visual inventory</t>
  </si>
  <si>
    <t xml:space="preserve">110 visuals; 95 data visuals</t>
  </si>
  <si>
    <t xml:space="preserve">REL-11</t>
  </si>
  <si>
    <t xml:space="preserve">KPI cards</t>
  </si>
  <si>
    <t xml:space="preserve">22 stable bound cards</t>
  </si>
  <si>
    <t xml:space="preserve">Dashboard Functional sheet</t>
  </si>
  <si>
    <t xml:space="preserve">No unbound cards</t>
  </si>
  <si>
    <t xml:space="preserve">REL-12</t>
  </si>
  <si>
    <t xml:space="preserve">Filter coverage</t>
  </si>
  <si>
    <t xml:space="preserve">Six slicers on every page</t>
  </si>
  <si>
    <t xml:space="preserve">30 total</t>
  </si>
  <si>
    <t xml:space="preserve">REL-13</t>
  </si>
  <si>
    <t xml:space="preserve">Navigation coverage</t>
  </si>
  <si>
    <t xml:space="preserve">Native navigator on every page</t>
  </si>
  <si>
    <t xml:space="preserve">5 total</t>
  </si>
  <si>
    <t xml:space="preserve">REL-14</t>
  </si>
  <si>
    <t xml:space="preserve">Map coverage</t>
  </si>
  <si>
    <t xml:space="preserve">One standard map per page</t>
  </si>
  <si>
    <t xml:space="preserve">Map tests</t>
  </si>
  <si>
    <t xml:space="preserve">REL-15</t>
  </si>
  <si>
    <t xml:space="preserve">Active bindings</t>
  </si>
  <si>
    <t xml:space="preserve">310 active; 0 inactive</t>
  </si>
  <si>
    <t xml:space="preserve">REL-16</t>
  </si>
  <si>
    <t xml:space="preserve">Semantic measures</t>
  </si>
  <si>
    <t xml:space="preserve">35 DAX measures</t>
  </si>
  <si>
    <t xml:space="preserve">Model owner</t>
  </si>
  <si>
    <t xml:space="preserve">REL-17</t>
  </si>
  <si>
    <t xml:space="preserve">Portability</t>
  </si>
  <si>
    <t xml:space="preserve">No machine-specific Excel path</t>
  </si>
  <si>
    <t xml:space="preserve">Semantic model tests</t>
  </si>
  <si>
    <t xml:space="preserve">REL-18</t>
  </si>
  <si>
    <t xml:space="preserve">Sign-in independence</t>
  </si>
  <si>
    <t xml:space="preserve">No Azure Maps or cloud AI visuals</t>
  </si>
  <si>
    <t xml:space="preserve">Visual type inventory</t>
  </si>
  <si>
    <t xml:space="preserve">Standard maps only</t>
  </si>
  <si>
    <t xml:space="preserve">REL-19</t>
  </si>
  <si>
    <t xml:space="preserve">Open instructions</t>
  </si>
  <si>
    <t xml:space="preserve">Beginner-safe first-open guide</t>
  </si>
  <si>
    <t xml:space="preserve">OPEN_ME_FIRST / user guide</t>
  </si>
  <si>
    <t xml:space="preserve">Handover owner</t>
  </si>
  <si>
    <t xml:space="preserve">Included</t>
  </si>
  <si>
    <t xml:space="preserve">REL-20</t>
  </si>
  <si>
    <t xml:space="preserve">Map configuration guide</t>
  </si>
  <si>
    <t xml:space="preserve">Internet and Security option documented</t>
  </si>
  <si>
    <t xml:space="preserve">Operations guide</t>
  </si>
  <si>
    <t xml:space="preserve">REL-21</t>
  </si>
  <si>
    <t xml:space="preserve">Known limitations</t>
  </si>
  <si>
    <t xml:space="preserve">2026-only and no publication count stated</t>
  </si>
  <si>
    <t xml:space="preserve">Final documentation</t>
  </si>
  <si>
    <t xml:space="preserve">REL-22</t>
  </si>
  <si>
    <t xml:space="preserve">Automated regression</t>
  </si>
  <si>
    <t xml:space="preserve">All unittest cases pass</t>
  </si>
  <si>
    <t xml:space="preserve">test_milestone4.py</t>
  </si>
  <si>
    <t xml:space="preserve">12 regression methods</t>
  </si>
  <si>
    <t xml:space="preserve">REL-23</t>
  </si>
  <si>
    <t xml:space="preserve">Machine-readable evidence</t>
  </si>
  <si>
    <t xml:space="preserve">JSON and CSV evidence present</t>
  </si>
  <si>
    <t xml:space="preserve">evidence folder</t>
  </si>
  <si>
    <t xml:space="preserve">REL-24</t>
  </si>
  <si>
    <t xml:space="preserve">Formal QA report</t>
  </si>
  <si>
    <t xml:space="preserve">DOCX and PDF supplied</t>
  </si>
  <si>
    <t xml:space="preserve">Module 7 folder</t>
  </si>
  <si>
    <t xml:space="preserve">REL-25</t>
  </si>
  <si>
    <t xml:space="preserve">Final technical report</t>
  </si>
  <si>
    <t xml:space="preserve">Module 8 folder</t>
  </si>
  <si>
    <t xml:space="preserve">REL-26</t>
  </si>
  <si>
    <t xml:space="preserve">REL-27</t>
  </si>
  <si>
    <t xml:space="preserve">Final presentation</t>
  </si>
  <si>
    <t xml:space="preserve">Updated Milestone 4 PPTX supplied</t>
  </si>
  <si>
    <t xml:space="preserve">REL-28</t>
  </si>
  <si>
    <t xml:space="preserve">Readout script</t>
  </si>
  <si>
    <t xml:space="preserve">Updated DOCX and PDF supplied</t>
  </si>
  <si>
    <t xml:space="preserve">REL-29</t>
  </si>
  <si>
    <t xml:space="preserve">Manifest</t>
  </si>
  <si>
    <t xml:space="preserve">SHA-256 manifest generated</t>
  </si>
  <si>
    <t xml:space="preserve">MANIFEST folder</t>
  </si>
  <si>
    <t xml:space="preserve">Release owner</t>
  </si>
  <si>
    <t xml:space="preserve">Generated at packaging</t>
  </si>
  <si>
    <t xml:space="preserve">REL-30</t>
  </si>
  <si>
    <t xml:space="preserve">Final archive</t>
  </si>
  <si>
    <t xml:space="preserve">Archive integrity check passes</t>
  </si>
  <si>
    <t xml:space="preserve">Final ZIP</t>
  </si>
  <si>
    <t xml:space="preserve">Verified at packaging</t>
  </si>
  <si>
    <t xml:space="preserve">Final Dataset Data Dictionary</t>
  </si>
  <si>
    <t xml:space="preserve">1120 rows, 50 fields, reporting year 2026; source and derived roles are explicitly distinguished.</t>
  </si>
  <si>
    <t xml:space="preserve">Field</t>
  </si>
  <si>
    <t xml:space="preserve">Role</t>
  </si>
  <si>
    <t xml:space="preserve">Data Type</t>
  </si>
  <si>
    <t xml:space="preserve">Non-null</t>
  </si>
  <si>
    <t xml:space="preserve">Missing</t>
  </si>
  <si>
    <t xml:space="preserve">Missing %</t>
  </si>
  <si>
    <t xml:space="preserve">Unique</t>
  </si>
  <si>
    <t xml:space="preserve">Minimum</t>
  </si>
  <si>
    <t xml:space="preserve">Maximum</t>
  </si>
  <si>
    <t xml:space="preserve">Examples</t>
  </si>
  <si>
    <t xml:space="preserve">Definition</t>
  </si>
  <si>
    <t xml:space="preserve">Rank_QS</t>
  </si>
  <si>
    <t xml:space="preserve">Source field</t>
  </si>
  <si>
    <t xml:space="preserve">object</t>
  </si>
  <si>
    <t xml:space="preserve">1; 2; 3</t>
  </si>
  <si>
    <t xml:space="preserve">Rank QS from the supplied QS/THE dataset.</t>
  </si>
  <si>
    <t xml:space="preserve">Previous_Rank</t>
  </si>
  <si>
    <t xml:space="preserve">1; 2; 6</t>
  </si>
  <si>
    <t xml:space="preserve">Previous Rank from the supplied QS/THE dataset.</t>
  </si>
  <si>
    <t xml:space="preserve">Name</t>
  </si>
  <si>
    <t xml:space="preserve">Massachusetts Institute of Technology (MIT); Imperial College London; Stanford University</t>
  </si>
  <si>
    <t xml:space="preserve">Standardized university name used as the institutional label.</t>
  </si>
  <si>
    <t xml:space="preserve">Americas; Europe; Asia</t>
  </si>
  <si>
    <t xml:space="preserve">Geographic region used for dashboard grouping.</t>
  </si>
  <si>
    <t xml:space="preserve">M; L; XL</t>
  </si>
  <si>
    <t xml:space="preserve">Institution size category from the supplied source.</t>
  </si>
  <si>
    <t xml:space="preserve">CO; FO; FC</t>
  </si>
  <si>
    <t xml:space="preserve">Institutional subject-focus category from the supplied source.</t>
  </si>
  <si>
    <t xml:space="preserve">Research</t>
  </si>
  <si>
    <t xml:space="preserve">VH; HI; MD</t>
  </si>
  <si>
    <t xml:space="preserve">Research-activity category from the supplied source.</t>
  </si>
  <si>
    <t xml:space="preserve">Private not for Profit; Public; Not reported</t>
  </si>
  <si>
    <t xml:space="preserve">Institution ownership/status category from the supplied source.</t>
  </si>
  <si>
    <t xml:space="preserve">Academic_Reputation_Score</t>
  </si>
  <si>
    <t xml:space="preserve">float64</t>
  </si>
  <si>
    <t xml:space="preserve">100.0; 99.6; 99.7</t>
  </si>
  <si>
    <t xml:space="preserve">Academic Reputation Score from the supplied QS/THE dataset.</t>
  </si>
  <si>
    <t xml:space="preserve">Academic_Reputation_Rank</t>
  </si>
  <si>
    <t xml:space="preserve">4; 22; 5</t>
  </si>
  <si>
    <t xml:space="preserve">Academic Reputation Rank from the supplied QS/THE dataset.</t>
  </si>
  <si>
    <t xml:space="preserve">Employer_Reputation_Score</t>
  </si>
  <si>
    <t xml:space="preserve">100.0; 96.3; 98.2</t>
  </si>
  <si>
    <t xml:space="preserve">Employer Reputation Score from the supplied QS/THE dataset.</t>
  </si>
  <si>
    <t xml:space="preserve">Employer_Reputation_Rank</t>
  </si>
  <si>
    <t xml:space="preserve">2; 9; 3</t>
  </si>
  <si>
    <t xml:space="preserve">Employer Reputation Rank from the supplied QS/THE dataset.</t>
  </si>
  <si>
    <t xml:space="preserve">Faculty_Student_Ratio_Score</t>
  </si>
  <si>
    <t xml:space="preserve">100.0; 99.3; 98.3</t>
  </si>
  <si>
    <t xml:space="preserve">Faculty Student Ratio Score from the supplied QS/THE dataset.</t>
  </si>
  <si>
    <t xml:space="preserve">Faculty_Student_Ratio_Rank</t>
  </si>
  <si>
    <t xml:space="preserve">16; 42; 17</t>
  </si>
  <si>
    <t xml:space="preserve">Faculty Student Ratio Rank from the supplied QS/THE dataset.</t>
  </si>
  <si>
    <t xml:space="preserve">Citations_per_Faculty_Score</t>
  </si>
  <si>
    <t xml:space="preserve">100.0; 95.0; 99.7</t>
  </si>
  <si>
    <t xml:space="preserve">Citations per Faculty Score from the supplied QS/THE dataset.</t>
  </si>
  <si>
    <t xml:space="preserve">Citations_per_Faculty_Rank</t>
  </si>
  <si>
    <t xml:space="preserve">7; 69; 24</t>
  </si>
  <si>
    <t xml:space="preserve">Citations per Faculty Rank from the supplied QS/THE dataset.</t>
  </si>
  <si>
    <t xml:space="preserve">International_Faculty_Score</t>
  </si>
  <si>
    <t xml:space="preserve">100.0; 94.2; 98.8</t>
  </si>
  <si>
    <t xml:space="preserve">International Faculty Score from the supplied QS/THE dataset.</t>
  </si>
  <si>
    <t xml:space="preserve">International_Faculty_Rank</t>
  </si>
  <si>
    <t xml:space="preserve">63; 74; 188</t>
  </si>
  <si>
    <t xml:space="preserve">International Faculty Rank from the supplied QS/THE dataset.</t>
  </si>
  <si>
    <t xml:space="preserve">International_Student_Score</t>
  </si>
  <si>
    <t xml:space="preserve">91.6; 100.0; 73.5</t>
  </si>
  <si>
    <t xml:space="preserve">International Student Score from the supplied QS/THE dataset.</t>
  </si>
  <si>
    <t xml:space="preserve">International_Student_Rank</t>
  </si>
  <si>
    <t xml:space="preserve">153; 35; 261</t>
  </si>
  <si>
    <t xml:space="preserve">International Student Rank from the supplied QS/THE dataset.</t>
  </si>
  <si>
    <t xml:space="preserve">International_Students_Diversity_Score</t>
  </si>
  <si>
    <t xml:space="preserve">92.3; 100.0; 76.1</t>
  </si>
  <si>
    <t xml:space="preserve">International Students Diversity Score from the supplied QS/THE dataset.</t>
  </si>
  <si>
    <t xml:space="preserve">International_Students_Diversity_Rank</t>
  </si>
  <si>
    <t xml:space="preserve">130; 22; 230</t>
  </si>
  <si>
    <t xml:space="preserve">International Students Diversity Rank from the supplied QS/THE dataset.</t>
  </si>
  <si>
    <t xml:space="preserve">International_Research_Network_Score</t>
  </si>
  <si>
    <t xml:space="preserve">94.1; 97.5; 96.5</t>
  </si>
  <si>
    <t xml:space="preserve">International Research Network Score from the supplied QS/THE dataset.</t>
  </si>
  <si>
    <t xml:space="preserve">International_Research_Network_Rank</t>
  </si>
  <si>
    <t xml:space="preserve">98; 28; 49</t>
  </si>
  <si>
    <t xml:space="preserve">International Research Network Rank from the supplied QS/THE dataset.</t>
  </si>
  <si>
    <t xml:space="preserve">Employment_Outcomes_Score</t>
  </si>
  <si>
    <t xml:space="preserve">100.0; 95.9; 95.0</t>
  </si>
  <si>
    <t xml:space="preserve">Employment Outcomes Score from the supplied QS/THE dataset.</t>
  </si>
  <si>
    <t xml:space="preserve">Employment_Outcomes_Rank</t>
  </si>
  <si>
    <t xml:space="preserve">7; 68; 2</t>
  </si>
  <si>
    <t xml:space="preserve">Employment Outcomes Rank from the supplied QS/THE dataset.</t>
  </si>
  <si>
    <t xml:space="preserve">Sustainability_Score</t>
  </si>
  <si>
    <t xml:space="preserve">93.8; 98.3; 95.4</t>
  </si>
  <si>
    <t xml:space="preserve">Sustainability Score from the supplied QS/THE dataset.</t>
  </si>
  <si>
    <t xml:space="preserve">Sustainability_Rank</t>
  </si>
  <si>
    <t xml:space="preserve">33; 7=; 19=</t>
  </si>
  <si>
    <t xml:space="preserve">Sustainability Rank from the supplied QS/THE dataset.</t>
  </si>
  <si>
    <t xml:space="preserve">QS_Overall_Score</t>
  </si>
  <si>
    <t xml:space="preserve">100.0; 99.4; 98.9</t>
  </si>
  <si>
    <t xml:space="preserve">QS Overall Score from the supplied QS/THE dataset.</t>
  </si>
  <si>
    <t xml:space="preserve">Rank_THE</t>
  </si>
  <si>
    <t xml:space="preserve">int64</t>
  </si>
  <si>
    <t xml:space="preserve">2; 8; 5</t>
  </si>
  <si>
    <t xml:space="preserve">Rank THE from the supplied QS/THE dataset.</t>
  </si>
  <si>
    <t xml:space="preserve">Student_Population</t>
  </si>
  <si>
    <t xml:space="preserve">11703; 21340; 17422</t>
  </si>
  <si>
    <t xml:space="preserve">Student Population from the supplied QS/THE dataset.</t>
  </si>
  <si>
    <t xml:space="preserve">Students_to_Staff_Ratio</t>
  </si>
  <si>
    <t xml:space="preserve">7.7; 12.1; 5.9</t>
  </si>
  <si>
    <t xml:space="preserve">Students to Staff Ratio from the supplied QS/THE dataset.</t>
  </si>
  <si>
    <t xml:space="preserve">International_Students</t>
  </si>
  <si>
    <t xml:space="preserve">0.33; 0.6; 0.25</t>
  </si>
  <si>
    <t xml:space="preserve">International Students from the supplied QS/THE dataset.</t>
  </si>
  <si>
    <t xml:space="preserve">Female_to_Male_Ratio</t>
  </si>
  <si>
    <t xml:space="preserve">43 : 57; 48 : 52; 52 : 48</t>
  </si>
  <si>
    <t xml:space="preserve">Female to Male Ratio from the supplied QS/THE dataset.</t>
  </si>
  <si>
    <t xml:space="preserve">THE_Overall_Score</t>
  </si>
  <si>
    <t xml:space="preserve">97.6735; 94.689; 97.151</t>
  </si>
  <si>
    <t xml:space="preserve">THE Overall Score from the supplied QS/THE dataset.</t>
  </si>
  <si>
    <t xml:space="preserve">Teaching</t>
  </si>
  <si>
    <t xml:space="preserve">99.2; 90.6; 97.5</t>
  </si>
  <si>
    <t xml:space="preserve">Teaching from the supplied QS/THE dataset.</t>
  </si>
  <si>
    <t xml:space="preserve">Research_Environment</t>
  </si>
  <si>
    <t xml:space="preserve">95.3; 94.9; 97.4</t>
  </si>
  <si>
    <t xml:space="preserve">Research Environment from the supplied QS/THE dataset.</t>
  </si>
  <si>
    <t xml:space="preserve">Research_Quality</t>
  </si>
  <si>
    <t xml:space="preserve">99.6; 98.0; 99.5</t>
  </si>
  <si>
    <t xml:space="preserve">Research Quality from the supplied QS/THE dataset.</t>
  </si>
  <si>
    <t xml:space="preserve">Industry_Impact</t>
  </si>
  <si>
    <t xml:space="preserve">100.0; 91.9; 99.9</t>
  </si>
  <si>
    <t xml:space="preserve">Industry Impact from the supplied QS/THE dataset.</t>
  </si>
  <si>
    <t xml:space="preserve">International_Outlook</t>
  </si>
  <si>
    <t xml:space="preserve">91.9; 98.2; 83.9</t>
  </si>
  <si>
    <t xml:space="preserve">International Outlook from the supplied QS/THE dataset.</t>
  </si>
  <si>
    <t xml:space="preserve">Year</t>
  </si>
  <si>
    <t xml:space="preserve">2026</t>
  </si>
  <si>
    <t xml:space="preserve">Reporting year. The delivered scope contains 2026 only.</t>
  </si>
  <si>
    <t xml:space="preserve">United States; United Kingdom; Switzerland</t>
  </si>
  <si>
    <t xml:space="preserve">Standardized country assigned to the university.</t>
  </si>
  <si>
    <t xml:space="preserve">QS_Rank_Normalized</t>
  </si>
  <si>
    <t xml:space="preserve">Derived normalized field</t>
  </si>
  <si>
    <t xml:space="preserve">100.0; 99.93; 99.86</t>
  </si>
  <si>
    <t xml:space="preserve">QS rank transformed to a 0-100 score where a higher score indicates a stronger rank.</t>
  </si>
  <si>
    <t xml:space="preserve">THE_Rank_Normalized</t>
  </si>
  <si>
    <t xml:space="preserve">99.95; 99.68; 99.82</t>
  </si>
  <si>
    <t xml:space="preserve">THE rank transformed to a 0-100 score where a higher score indicates a stronger rank.</t>
  </si>
  <si>
    <t xml:space="preserve">Derived KPI</t>
  </si>
  <si>
    <t xml:space="preserve">99.975; 99.805; 99.84</t>
  </si>
  <si>
    <t xml:space="preserve">Average of the normalized QS and THE ranking scores.</t>
  </si>
  <si>
    <t xml:space="preserve">99.82; 95.73; 99.67</t>
  </si>
  <si>
    <t xml:space="preserve">Weighted score using citations, research quality and industry impact.</t>
  </si>
  <si>
    <t xml:space="preserve">0.1298701298701298; 0.0826446280991735; 0.1694915254237288</t>
  </si>
  <si>
    <t xml:space="preserve">Reciprocal of students per staff member; higher values indicate more staff availability.</t>
  </si>
  <si>
    <t xml:space="preserve">33.0; 60.0; 25.0</t>
  </si>
  <si>
    <t xml:space="preserve">International-student share expressed in percentage points.</t>
  </si>
  <si>
    <t xml:space="preserve">Supplied academic-reputation score retained as an auditable KPI.</t>
  </si>
  <si>
    <t xml:space="preserve">97.82; 95.94; 98.615</t>
  </si>
  <si>
    <t xml:space="preserve">Weighted proxy based on research quality, environment, citations, network and industry impact; not a publication-count measure.</t>
  </si>
  <si>
    <t xml:space="preserve">Milestone 4 Evidence Index</t>
  </si>
  <si>
    <t xml:space="preserve">Where every QA, technical, operational and release artifact is stored inside the final package.</t>
  </si>
  <si>
    <t xml:space="preserve">Evidence ID</t>
  </si>
  <si>
    <t xml:space="preserve">Artifact</t>
  </si>
  <si>
    <t xml:space="preserve">Purpose</t>
  </si>
  <si>
    <t xml:space="preserve">Format</t>
  </si>
  <si>
    <t xml:space="preserve">Generated By</t>
  </si>
  <si>
    <t xml:space="preserve">Location</t>
  </si>
  <si>
    <t xml:space="preserve">EVD-001</t>
  </si>
  <si>
    <t xml:space="preserve">Approved Power BI release</t>
  </si>
  <si>
    <t xml:space="preserve">Modules 4-6 reference</t>
  </si>
  <si>
    <t xml:space="preserve">Exact working dashboard build preserved unchanged</t>
  </si>
  <si>
    <t xml:space="preserve">ZIP</t>
  </si>
  <si>
    <t xml:space="preserve">Approved release process</t>
  </si>
  <si>
    <t xml:space="preserve">APPROVED_POWER_BI_RELEASE/</t>
  </si>
  <si>
    <t xml:space="preserve">EVD-002</t>
  </si>
  <si>
    <t xml:space="preserve">Module 7 validation</t>
  </si>
  <si>
    <t xml:space="preserve">Machine-readable 286-test release evidence</t>
  </si>
  <si>
    <t xml:space="preserve">JSON</t>
  </si>
  <si>
    <t xml:space="preserve">validate_milestone4.py</t>
  </si>
  <si>
    <t xml:space="preserve">MODULE_07_QA_TESTING/evidence/</t>
  </si>
  <si>
    <t xml:space="preserve">EVD-003</t>
  </si>
  <si>
    <t xml:space="preserve">Detailed test results</t>
  </si>
  <si>
    <t xml:space="preserve">One row per executed test</t>
  </si>
  <si>
    <t xml:space="preserve">CSV</t>
  </si>
  <si>
    <t xml:space="preserve">EVD-004</t>
  </si>
  <si>
    <t xml:space="preserve">Dashboard inventory</t>
  </si>
  <si>
    <t xml:space="preserve">Page, visual, map, card, slicer and binding inventory</t>
  </si>
  <si>
    <t xml:space="preserve">EVD-005</t>
  </si>
  <si>
    <t xml:space="preserve">QA master workbook</t>
  </si>
  <si>
    <t xml:space="preserve">Traceability, tests, UAT, defects, risks and release gates</t>
  </si>
  <si>
    <t xml:space="preserve">XLSX</t>
  </si>
  <si>
    <t xml:space="preserve">build_qa_master.mjs</t>
  </si>
  <si>
    <t xml:space="preserve">MODULE_07_QA_TESTING/</t>
  </si>
  <si>
    <t xml:space="preserve">EVD-006</t>
  </si>
  <si>
    <t xml:space="preserve">Detailed testing report</t>
  </si>
  <si>
    <t xml:space="preserve">Formal QA narrative and release recommendation</t>
  </si>
  <si>
    <t xml:space="preserve">DOCX/PDF</t>
  </si>
  <si>
    <t xml:space="preserve">build_milestone4_documents.py</t>
  </si>
  <si>
    <t xml:space="preserve">EVD-007</t>
  </si>
  <si>
    <t xml:space="preserve">Final technical documentation</t>
  </si>
  <si>
    <t xml:space="preserve">Module 8</t>
  </si>
  <si>
    <t xml:space="preserve">Architecture, analytics, governance and handover</t>
  </si>
  <si>
    <t xml:space="preserve">MODULE_08_FINAL_HANDOVER/</t>
  </si>
  <si>
    <t xml:space="preserve">EVD-008</t>
  </si>
  <si>
    <t xml:space="preserve">Operations and maintenance guide</t>
  </si>
  <si>
    <t xml:space="preserve">Beginner-safe open, refresh, map, backup and update procedures</t>
  </si>
  <si>
    <t xml:space="preserve">EVD-009</t>
  </si>
  <si>
    <t xml:space="preserve">Milestone 4 defense presentation</t>
  </si>
  <si>
    <t xml:space="preserve">PPTX</t>
  </si>
  <si>
    <t xml:space="preserve">build_milestone4_presentation.mjs</t>
  </si>
  <si>
    <t xml:space="preserve">EVD-010</t>
  </si>
  <si>
    <t xml:space="preserve">Presentation readout</t>
  </si>
  <si>
    <t xml:space="preserve">Speaker script for the final deck</t>
  </si>
  <si>
    <t xml:space="preserve">EVD-011</t>
  </si>
  <si>
    <t xml:space="preserve">Reference datasets</t>
  </si>
  <si>
    <t xml:space="preserve">Modules 1-3 reference</t>
  </si>
  <si>
    <t xml:space="preserve">Raw, cleaned and KPI dataset evidence</t>
  </si>
  <si>
    <t xml:space="preserve">CSV/XLSX/JSON</t>
  </si>
  <si>
    <t xml:space="preserve">Upstream pipeline</t>
  </si>
  <si>
    <t xml:space="preserve">REFERENCE_DATA/</t>
  </si>
  <si>
    <t xml:space="preserve">EVD-012</t>
  </si>
  <si>
    <t xml:space="preserve">Release manifest</t>
  </si>
  <si>
    <t xml:space="preserve">SHA-256 and archive completeness</t>
  </si>
  <si>
    <t xml:space="preserve">TXT/CSV/JSON</t>
  </si>
  <si>
    <t xml:space="preserve">package_release.py</t>
  </si>
  <si>
    <t xml:space="preserve">MANIFEST/</t>
  </si>
  <si>
    <t xml:space="preserve">User Acceptance and Release Sign-Off</t>
  </si>
  <si>
    <t xml:space="preserve">Complete the named approval fields when submitting or transferring ownership. All objective release gates are already populated from the QA evidence.</t>
  </si>
  <si>
    <t xml:space="preserve">Observed</t>
  </si>
  <si>
    <t xml:space="preserve">Dashboard opens and refreshes</t>
  </si>
  <si>
    <t xml:space="preserve">No local path or credential prompt</t>
  </si>
  <si>
    <t xml:space="preserve">Embedded Import model; refresh-once workflow</t>
  </si>
  <si>
    <t xml:space="preserve">Core dataset totals</t>
  </si>
  <si>
    <t xml:space="preserve">1,120 universities; 93 countries; 5 regions</t>
  </si>
  <si>
    <t xml:space="preserve">KPI calculations</t>
  </si>
  <si>
    <t xml:space="preserve">100% reconciliation across six KPIs</t>
  </si>
  <si>
    <t xml:space="preserve">6,720 exact row-KPI comparisons</t>
  </si>
  <si>
    <t xml:space="preserve">KPI card rendering</t>
  </si>
  <si>
    <t xml:space="preserve">22 visible and bound cards</t>
  </si>
  <si>
    <t xml:space="preserve">22 active card definitions</t>
  </si>
  <si>
    <t xml:space="preserve">Filters and navigation</t>
  </si>
  <si>
    <t xml:space="preserve">Six slicers and one navigator per page</t>
  </si>
  <si>
    <t xml:space="preserve">30 slicers and five navigators</t>
  </si>
  <si>
    <t xml:space="preserve">Map analysis</t>
  </si>
  <si>
    <t xml:space="preserve">One standard map per dashboard</t>
  </si>
  <si>
    <t xml:space="preserve">Five map definitions; no Azure Map</t>
  </si>
  <si>
    <t xml:space="preserve">Release defects</t>
  </si>
  <si>
    <t xml:space="preserve">No open critical defect</t>
  </si>
  <si>
    <t xml:space="preserve">QA, technical, operations and presentation files</t>
  </si>
  <si>
    <t xml:space="preserve">Included in Milestone 4 package</t>
  </si>
  <si>
    <t xml:space="preserve">FORMAL APPROVAL</t>
  </si>
  <si>
    <t xml:space="preserve">Project Owner</t>
  </si>
  <si>
    <t xml:space="preserve">Reviewer</t>
  </si>
  <si>
    <t xml:space="preserve">Date</t>
  </si>
  <si>
    <t xml:space="preserve">Decision</t>
  </si>
  <si>
    <t xml:space="preserve">APPROVED</t>
  </si>
  <si>
    <t xml:space="preserve">Signature</t>
  </si>
  <si>
    <t xml:space="preserve">Version</t>
  </si>
  <si>
    <t xml:space="preserve">Milestone 4 Final</t>
  </si>
  <si>
    <t xml:space="preserve">Reviewer comments / approval conditions: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</si>
</sst>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0%"/>
    <numFmt numFmtId="167" formatCode="0.0000%"/>
    <numFmt numFmtId="168" formatCode="0.00%"/>
    <numFmt numFmtId="169" formatCode="0.000000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Segoe UI"/>
      <family val="0"/>
      <charset val="1"/>
    </font>
    <font>
      <i val="true"/>
      <sz val="10"/>
      <color rgb="FF64748B"/>
      <name val="Segoe UI"/>
      <family val="0"/>
      <charset val="1"/>
    </font>
    <font>
      <b val="true"/>
      <sz val="10"/>
      <color rgb="FF14233E"/>
      <name val="Segoe UI"/>
      <family val="0"/>
      <charset val="1"/>
    </font>
    <font>
      <b val="true"/>
      <sz val="22"/>
      <color rgb="FF0F4C81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9"/>
      <color rgb="FF14233E"/>
      <name val="Segoe UI"/>
      <family val="0"/>
      <charset val="1"/>
    </font>
    <font>
      <sz val="9"/>
      <color rgb="FF243B53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7A5A00"/>
      <name val="Segoe UI"/>
      <family val="0"/>
      <charset val="1"/>
    </font>
    <font>
      <sz val="10"/>
      <color rgb="FF243B53"/>
      <name val="Segoe U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4233E"/>
        <bgColor rgb="FF243B53"/>
      </patternFill>
    </fill>
    <fill>
      <patternFill patternType="solid">
        <fgColor rgb="FFF3F6FA"/>
        <bgColor rgb="FFEAF1F7"/>
      </patternFill>
    </fill>
    <fill>
      <patternFill patternType="solid">
        <fgColor rgb="FFEAF1F7"/>
        <bgColor rgb="FFE8F5F1"/>
      </patternFill>
    </fill>
    <fill>
      <patternFill patternType="solid">
        <fgColor rgb="FFFFFFFF"/>
        <bgColor rgb="FFF3F6FA"/>
      </patternFill>
    </fill>
    <fill>
      <patternFill patternType="solid">
        <fgColor rgb="FF2A9D8F"/>
        <bgColor rgb="FF46B1E1"/>
      </patternFill>
    </fill>
    <fill>
      <patternFill patternType="solid">
        <fgColor rgb="FF0F4C81"/>
        <bgColor rgb="FF156082"/>
      </patternFill>
    </fill>
    <fill>
      <patternFill patternType="solid">
        <fgColor rgb="FFFFF6DD"/>
        <bgColor rgb="FFFDEDE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7E0EC"/>
      </left>
      <right style="thin">
        <color rgb="FFD7E0EC"/>
      </right>
      <top style="thin">
        <color rgb="FFD7E0EC"/>
      </top>
      <bottom style="thin">
        <color rgb="FFD7E0EC"/>
      </bottom>
      <diagonal/>
    </border>
    <border diagonalUp="false" diagonalDown="false">
      <left style="medium">
        <color rgb="FFD7E0EC"/>
      </left>
      <right style="medium">
        <color rgb="FFD7E0EC"/>
      </right>
      <top style="medium">
        <color rgb="FFD7E0EC"/>
      </top>
      <bottom style="medium">
        <color rgb="FFD7E0EC"/>
      </bottom>
      <diagonal/>
    </border>
    <border diagonalUp="false" diagonalDown="false">
      <left style="thin">
        <color rgb="FF0F4C81"/>
      </left>
      <right/>
      <top style="thin">
        <color rgb="FF0F4C81"/>
      </top>
      <bottom style="thin">
        <color rgb="FF0F4C81"/>
      </bottom>
      <diagonal/>
    </border>
    <border diagonalUp="false" diagonalDown="false">
      <left/>
      <right/>
      <top style="thin">
        <color rgb="FF0F4C81"/>
      </top>
      <bottom style="thin">
        <color rgb="FF0F4C81"/>
      </bottom>
      <diagonal/>
    </border>
    <border diagonalUp="false" diagonalDown="false">
      <left/>
      <right style="thin">
        <color rgb="FF0F4C81"/>
      </right>
      <top style="thin">
        <color rgb="FF0F4C81"/>
      </top>
      <bottom style="thin">
        <color rgb="FF0F4C81"/>
      </bottom>
      <diagonal/>
    </border>
    <border diagonalUp="false" diagonalDown="false">
      <left/>
      <right/>
      <top/>
      <bottom style="thin">
        <color rgb="FFD7E0EC"/>
      </bottom>
      <diagonal/>
    </border>
    <border diagonalUp="false" diagonalDown="false">
      <left/>
      <right/>
      <top style="thin">
        <color rgb="FFD7E0EC"/>
      </top>
      <bottom style="thin">
        <color rgb="FFD7E0EC"/>
      </bottom>
      <diagonal/>
    </border>
    <border diagonalUp="false" diagonalDown="false">
      <left style="thin">
        <color rgb="FFE9C46A"/>
      </left>
      <right style="thin">
        <color rgb="FFE9C46A"/>
      </right>
      <top style="thin">
        <color rgb="FFE9C46A"/>
      </top>
      <bottom style="thin">
        <color rgb="FFE9C46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88">
    <dxf>
      <fill>
        <patternFill patternType="solid">
          <fgColor rgb="FF0F4C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B5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A13A32"/>
          <bgColor rgb="FF000000"/>
        </patternFill>
      </fill>
    </dxf>
    <dxf>
      <fill>
        <patternFill patternType="solid">
          <fgColor rgb="FFE8F5F1"/>
          <bgColor rgb="FF000000"/>
        </patternFill>
      </fill>
    </dxf>
    <dxf>
      <fill>
        <patternFill patternType="solid">
          <fgColor rgb="FF176B55"/>
          <bgColor rgb="FF000000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ill>
        <patternFill patternType="solid">
          <fgColor rgb="FFFFF6DD"/>
          <bgColor rgb="FF000000"/>
        </patternFill>
      </fill>
    </dxf>
    <dxf>
      <fill>
        <patternFill patternType="solid">
          <fgColor rgb="FF7A5A00"/>
          <bgColor rgb="FF000000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7A5A00"/>
      </font>
      <fill>
        <patternFill>
          <bgColor rgb="FFFFF6DD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ill>
        <patternFill patternType="solid">
          <fgColor rgb="FFEAF1F7"/>
          <bgColor rgb="FF000000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0F4C81"/>
      </font>
      <fill>
        <patternFill>
          <bgColor rgb="FFEAF1F7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176B55"/>
      </font>
      <fill>
        <patternFill>
          <bgColor rgb="FFE8F5F1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b val="1"/>
        <color rgb="FFA13A32"/>
      </font>
      <fill>
        <patternFill>
          <bgColor rgb="FFFDEDEC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1" type="wholeTable"/>
      <tableStyleElement dxfId="82" type="firstColumnStripe"/>
      <tableStyleElement dxfId="83" type="firstRowStripe"/>
      <tableStyleElement dxfId="84" type="lastColumn"/>
      <tableStyleElement dxfId="85" type="firstColumn"/>
      <tableStyleElement dxfId="86" type="headerRow"/>
      <tableStyleElement dxfId="87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00"/>
      <rgbColor rgb="FF800080"/>
      <rgbColor rgb="FF176B55"/>
      <rgbColor rgb="FFCCCCCC"/>
      <rgbColor rgb="FF8B8B8B"/>
      <rgbColor rgb="FF9999FF"/>
      <rgbColor rgb="FF993366"/>
      <rgbColor rgb="FFFFF6DD"/>
      <rgbColor rgb="FFE8F5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AF1F7"/>
      <rgbColor rgb="FFD7E0EC"/>
      <rgbColor rgb="FFFDEDEC"/>
      <rgbColor rgb="FFF3F6FA"/>
      <rgbColor rgb="FFFF99CC"/>
      <rgbColor rgb="FFCC99FF"/>
      <rgbColor rgb="FFE9C46A"/>
      <rgbColor rgb="FF3366FF"/>
      <rgbColor rgb="FF46B1E1"/>
      <rgbColor rgb="FF99CC00"/>
      <rgbColor rgb="FFFFCC00"/>
      <rgbColor rgb="FFFF9900"/>
      <rgbColor rgb="FFE97132"/>
      <rgbColor rgb="FF64748B"/>
      <rgbColor rgb="FF969696"/>
      <rgbColor rgb="FF14233E"/>
      <rgbColor rgb="FF2A9D8F"/>
      <rgbColor rgb="FF003300"/>
      <rgbColor rgb="FF333300"/>
      <rgbColor rgb="FFA13A32"/>
      <rgbColor rgb="FF993366"/>
      <rgbColor rgb="FF0F4C81"/>
      <rgbColor rgb="FF243B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QA Coverage and Passed Tests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'QA Summary'!$A$16:$A$29</c:f>
              <c:strCache>
                <c:ptCount val="14"/>
                <c:pt idx="0">
                  <c:v>Field binding</c:v>
                </c:pt>
                <c:pt idx="1">
                  <c:v>Dashboard page contract</c:v>
                </c:pt>
                <c:pt idx="2">
                  <c:v>Map validation</c:v>
                </c:pt>
                <c:pt idx="3">
                  <c:v>Data quality</c:v>
                </c:pt>
                <c:pt idx="4">
                  <c:v>KPI reconciliation</c:v>
                </c:pt>
                <c:pt idx="5">
                  <c:v>User acceptance testing</c:v>
                </c:pt>
                <c:pt idx="6">
                  <c:v>Final handover</c:v>
                </c:pt>
                <c:pt idx="7">
                  <c:v>Packaging</c:v>
                </c:pt>
                <c:pt idx="8">
                  <c:v>Dashboard integration</c:v>
                </c:pt>
                <c:pt idx="9">
                  <c:v>Semantic model</c:v>
                </c:pt>
                <c:pt idx="10">
                  <c:v>Documentation</c:v>
                </c:pt>
                <c:pt idx="11">
                  <c:v>Dashboard compatibility</c:v>
                </c:pt>
                <c:pt idx="12">
                  <c:v>Release integrity</c:v>
                </c:pt>
                <c:pt idx="13">
                  <c:v>Report definition</c:v>
                </c:pt>
              </c:strCache>
            </c:strRef>
          </c:cat>
          <c:val>
            <c:numRef>
              <c:f>'QA Summary'!$B$16:$B$29</c:f>
              <c:numCache>
                <c:formatCode>General</c:formatCode>
                <c:ptCount val="14"/>
                <c:pt idx="0">
                  <c:v>98</c:v>
                </c:pt>
                <c:pt idx="1">
                  <c:v>60</c:v>
                </c:pt>
                <c:pt idx="2">
                  <c:v>35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14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strRef>
              <c:f>"Passed"</c:f>
              <c:strCache>
                <c:ptCount val="1"/>
                <c:pt idx="0">
                  <c:v>Passed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'QA Summary'!$A$16:$A$29</c:f>
              <c:strCache>
                <c:ptCount val="14"/>
                <c:pt idx="0">
                  <c:v>Field binding</c:v>
                </c:pt>
                <c:pt idx="1">
                  <c:v>Dashboard page contract</c:v>
                </c:pt>
                <c:pt idx="2">
                  <c:v>Map validation</c:v>
                </c:pt>
                <c:pt idx="3">
                  <c:v>Data quality</c:v>
                </c:pt>
                <c:pt idx="4">
                  <c:v>KPI reconciliation</c:v>
                </c:pt>
                <c:pt idx="5">
                  <c:v>User acceptance testing</c:v>
                </c:pt>
                <c:pt idx="6">
                  <c:v>Final handover</c:v>
                </c:pt>
                <c:pt idx="7">
                  <c:v>Packaging</c:v>
                </c:pt>
                <c:pt idx="8">
                  <c:v>Dashboard integration</c:v>
                </c:pt>
                <c:pt idx="9">
                  <c:v>Semantic model</c:v>
                </c:pt>
                <c:pt idx="10">
                  <c:v>Documentation</c:v>
                </c:pt>
                <c:pt idx="11">
                  <c:v>Dashboard compatibility</c:v>
                </c:pt>
                <c:pt idx="12">
                  <c:v>Release integrity</c:v>
                </c:pt>
                <c:pt idx="13">
                  <c:v>Report definition</c:v>
                </c:pt>
              </c:strCache>
            </c:strRef>
          </c:cat>
          <c:val>
            <c:numRef>
              <c:f>'QA Summary'!$C$16:$C$29</c:f>
              <c:numCache>
                <c:formatCode>General</c:formatCode>
                <c:ptCount val="14"/>
                <c:pt idx="0">
                  <c:v>98</c:v>
                </c:pt>
                <c:pt idx="1">
                  <c:v>60</c:v>
                </c:pt>
                <c:pt idx="2">
                  <c:v>35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14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gapWidth val="150"/>
        <c:overlap val="0"/>
        <c:axId val="73873146"/>
        <c:axId val="29458644"/>
      </c:barChart>
      <c:catAx>
        <c:axId val="7387314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9458644"/>
        <c:crosses val="autoZero"/>
        <c:auto val="1"/>
        <c:lblAlgn val="ctr"/>
        <c:lblOffset val="100"/>
        <c:noMultiLvlLbl val="0"/>
      </c:catAx>
      <c:valAx>
        <c:axId val="2945864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3873146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14</xdr:row>
      <xdr:rowOff>0</xdr:rowOff>
    </xdr:from>
    <xdr:to>
      <xdr:col>11</xdr:col>
      <xdr:colOff>986400</xdr:colOff>
      <xdr:row>31</xdr:row>
      <xdr:rowOff>190080</xdr:rowOff>
    </xdr:to>
    <xdr:graphicFrame>
      <xdr:nvGraphicFramePr>
        <xdr:cNvPr id="1" name="Chart"/>
        <xdr:cNvGraphicFramePr/>
      </xdr:nvGraphicFramePr>
      <xdr:xfrm>
        <a:off x="5920920" y="3650040"/>
        <a:ext cx="5920200" cy="437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tegorySummaryTable" displayName="CategorySummaryTable" ref="A15:E29" headerRowCount="1" totalsRowCount="0" totalsRowShown="0">
  <autoFilter ref="A15:E29"/>
  <tableColumns count="5">
    <tableColumn id="1" name="Test Category"/>
    <tableColumn id="2" name="Total"/>
    <tableColumn id="3" name="Passed"/>
    <tableColumn id="4" name="Failed"/>
    <tableColumn id="5" name="Pass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boardFunctionalTestsTable" displayName="DashboardFunctionalTestsTable" ref="A5:I217" headerRowCount="1" totalsRowCount="0" totalsRowShown="0">
  <autoFilter ref="A5:I217"/>
  <tableColumns count="9">
    <tableColumn id="1" name="Test ID"/>
    <tableColumn id="2" name="Requirement"/>
    <tableColumn id="3" name="Category"/>
    <tableColumn id="4" name="Scenario"/>
    <tableColumn id="5" name="Expected"/>
    <tableColumn id="6" name="Actual"/>
    <tableColumn id="7" name="Method"/>
    <tableColumn id="8" name="Priority"/>
    <tableColumn id="9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shboardPageInventoryTable" displayName="DashboardPageInventoryTable" ref="A5:L10" headerRowCount="1" totalsRowCount="0" totalsRowShown="0">
  <autoFilter ref="A5:L10"/>
  <tableColumns count="12">
    <tableColumn id="1" name="Page"/>
    <tableColumn id="2" name="Width"/>
    <tableColumn id="3" name="Height"/>
    <tableColumn id="4" name="Visuals"/>
    <tableColumn id="5" name="Data Visuals"/>
    <tableColumn id="6" name="KPI Cards"/>
    <tableColumn id="7" name="Slicers"/>
    <tableColumn id="8" name="Navigator"/>
    <tableColumn id="9" name="Map"/>
    <tableColumn id="10" name="Active Bindings"/>
    <tableColumn id="11" name="Inactive"/>
    <tableColumn id="12" name="KPI Measu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QualityTestsTable" displayName="DataQualityTestsTable" ref="A5:I25" headerRowCount="1" totalsRowCount="0" totalsRowShown="0">
  <autoFilter ref="A5:I25"/>
  <tableColumns count="9">
    <tableColumn id="1" name="Test ID"/>
    <tableColumn id="2" name="Requirement"/>
    <tableColumn id="3" name="Category"/>
    <tableColumn id="4" name="Scenario"/>
    <tableColumn id="5" name="Expected"/>
    <tableColumn id="6" name="Actual"/>
    <tableColumn id="7" name="Method"/>
    <tableColumn id="8" name="Priority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fectResolutionTable" displayName="DefectResolutionTable" ref="A5:J15" headerRowCount="1" totalsRowCount="0" totalsRowShown="0">
  <autoFilter ref="A5:J15"/>
  <tableColumns count="10">
    <tableColumn id="1" name="Defect ID"/>
    <tableColumn id="2" name="Observed Issue"/>
    <tableColumn id="3" name="Root Cause"/>
    <tableColumn id="4" name="Corrective Action"/>
    <tableColumn id="5" name="Regression Test"/>
    <tableColumn id="6" name="Priority"/>
    <tableColumn id="7" name="Status"/>
    <tableColumn id="8" name="Detected"/>
    <tableColumn id="9" name="Closed"/>
    <tableColumn id="10" name="Residual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etailedTestCasesTable" displayName="DetailedTestCasesTable" ref="A5:K305" headerRowCount="1" totalsRowCount="0" totalsRowShown="0">
  <autoFilter ref="A5:K305"/>
  <tableColumns count="11">
    <tableColumn id="1" name="Test ID"/>
    <tableColumn id="2" name="Requirement ID"/>
    <tableColumn id="3" name="Module"/>
    <tableColumn id="4" name="Category"/>
    <tableColumn id="5" name="Test Scenario"/>
    <tableColumn id="6" name="Expected Result"/>
    <tableColumn id="7" name="Actual Result"/>
    <tableColumn id="8" name="Execution Method"/>
    <tableColumn id="9" name="Priority"/>
    <tableColumn id="10" name="Status"/>
    <tableColumn id="11" name="Evid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inalDatasetDictionaryTable" displayName="FinalDatasetDictionaryTable" ref="A5:K55" headerRowCount="1" totalsRowCount="0" totalsRowShown="0">
  <autoFilter ref="A5:K55"/>
  <tableColumns count="11">
    <tableColumn id="1" name="Field"/>
    <tableColumn id="2" name="Role"/>
    <tableColumn id="3" name="Data Type"/>
    <tableColumn id="4" name="Non-null"/>
    <tableColumn id="5" name="Missing"/>
    <tableColumn id="6" name="Missing %"/>
    <tableColumn id="7" name="Unique"/>
    <tableColumn id="8" name="Minimum"/>
    <tableColumn id="9" name="Maximum"/>
    <tableColumn id="10" name="Examples"/>
    <tableColumn id="11" name="Defini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KPIReconciliationTable" displayName="KPIReconciliationTable" ref="A5:H11" headerRowCount="1" totalsRowCount="0" totalsRowShown="0">
  <autoFilter ref="A5:H11"/>
  <tableColumns count="8">
    <tableColumn id="1" name="KPI"/>
    <tableColumn id="2" name="Rows Checked"/>
    <tableColumn id="3" name="Matching Rows"/>
    <tableColumn id="4" name="Accuracy"/>
    <tableColumn id="5" name="Maximum Difference"/>
    <tableColumn id="6" name="Status"/>
    <tableColumn id="7" name="Formula Basis"/>
    <tableColumn id="8" name="Interpret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ilestone4EvidenceIndexTable" displayName="Milestone4EvidenceIndexTable" ref="A5:G17" headerRowCount="1" totalsRowCount="0" totalsRowShown="0">
  <autoFilter ref="A5:G17"/>
  <tableColumns count="7">
    <tableColumn id="1" name="Evidence ID"/>
    <tableColumn id="2" name="Artifact"/>
    <tableColumn id="3" name="Module"/>
    <tableColumn id="4" name="Purpose"/>
    <tableColumn id="5" name="Format"/>
    <tableColumn id="6" name="Generated By"/>
    <tableColumn id="7" name="Loc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ilestone4ReleaseChecklistTable" displayName="Milestone4ReleaseChecklistTable" ref="A5:G35" headerRowCount="1" totalsRowCount="0" totalsRowShown="0">
  <autoFilter ref="A5:G35"/>
  <tableColumns count="7">
    <tableColumn id="1" name="Gate ID"/>
    <tableColumn id="2" name="Release Gate"/>
    <tableColumn id="3" name="Acceptance Criterion"/>
    <tableColumn id="4" name="Evidence"/>
    <tableColumn id="5" name="Owner"/>
    <tableColumn id="6" name="Status"/>
    <tableColumn id="7" name="Remark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OperationalRiskRegisterTable" displayName="OperationalRiskRegisterTable" ref="A5:J17" headerRowCount="1" totalsRowCount="0" totalsRowShown="0">
  <autoFilter ref="A5:J17"/>
  <tableColumns count="10">
    <tableColumn id="1" name="Risk ID"/>
    <tableColumn id="2" name="Risk"/>
    <tableColumn id="3" name="Likelihood"/>
    <tableColumn id="4" name="Impact"/>
    <tableColumn id="5" name="Inherent Rating"/>
    <tableColumn id="6" name="Primary Control"/>
    <tableColumn id="7" name="Residual Rating"/>
    <tableColumn id="8" name="Owner"/>
    <tableColumn id="9" name="Review Trigger"/>
    <tableColumn id="10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quirementsTraceabilityTable" displayName="RequirementsTraceabilityTable" ref="A5:H85" headerRowCount="1" totalsRowCount="0" totalsRowShown="0">
  <autoFilter ref="A5:H85"/>
  <tableColumns count="8">
    <tableColumn id="1" name="Requirement ID"/>
    <tableColumn id="2" name="Area"/>
    <tableColumn id="3" name="Representative Requirement"/>
    <tableColumn id="4" name="Test Count"/>
    <tableColumn id="5" name="Pass Count"/>
    <tableColumn id="6" name="Fail Count"/>
    <tableColumn id="7" name="Status"/>
    <tableColumn id="8" name="Principal Eviden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UserAcceptanceTestsTable" displayName="UserAcceptanceTestsTable" ref="A5:I25" headerRowCount="1" totalsRowCount="0" totalsRowShown="0">
  <autoFilter ref="A5:I25"/>
  <tableColumns count="9">
    <tableColumn id="1" name="Test ID"/>
    <tableColumn id="2" name="Requirement"/>
    <tableColumn id="3" name="Category"/>
    <tableColumn id="4" name="Scenario"/>
    <tableColumn id="5" name="Expected"/>
    <tableColumn id="6" name="Actual"/>
    <tableColumn id="7" name="Method"/>
    <tableColumn id="8" name="Priority"/>
    <tableColumn id="9" name="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VisualTypeInventoryTable" displayName="VisualTypeInventoryTable" ref="A13:C33" headerRowCount="1" totalsRowCount="0" totalsRowShown="0">
  <autoFilter ref="A13:C33"/>
  <tableColumns count="3">
    <tableColumn id="1" name="Visual Type"/>
    <tableColumn id="2" name="Count"/>
    <tableColumn id="3" name="Purpose / Contr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1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4"/>
  </cols>
  <sheetData>
    <row r="1" customFormat="false" ht="3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/>
      <c r="L4" s="3"/>
    </row>
    <row r="5" customFormat="false" ht="15" hidden="false" customHeight="false" outlineLevel="0" collapsed="false">
      <c r="A5" s="4" t="n">
        <f aca="false">COUNTA('Test Cases'!$A$6:$A$305)</f>
        <v>300</v>
      </c>
      <c r="B5" s="4"/>
      <c r="C5" s="4" t="n">
        <f aca="false">COUNTIF('Test Cases'!$J$6:$J$305,"PASS")</f>
        <v>300</v>
      </c>
      <c r="D5" s="4"/>
      <c r="E5" s="4" t="n">
        <f aca="false">COUNTIF('Test Cases'!$J$6:$J$305,"FAIL")</f>
        <v>0</v>
      </c>
      <c r="F5" s="4"/>
      <c r="G5" s="5" t="n">
        <f aca="false">IFERROR(C5/A5,0)</f>
        <v>1</v>
      </c>
      <c r="H5" s="5"/>
      <c r="I5" s="4" t="str">
        <f aca="false">IF(E5=0,"APPROVED","BLOCKED")</f>
        <v>APPROVED</v>
      </c>
      <c r="J5" s="4"/>
      <c r="K5" s="4"/>
      <c r="L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5"/>
      <c r="H6" s="5"/>
      <c r="I6" s="4"/>
      <c r="J6" s="4"/>
      <c r="K6" s="4"/>
      <c r="L6" s="4"/>
    </row>
    <row r="8" customFormat="false" ht="15" hidden="false" customHeight="false" outlineLevel="0" collapsed="false">
      <c r="A8" s="6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26.85" hidden="false" customHeight="false" outlineLevel="0" collapsed="false">
      <c r="A9" s="7" t="s">
        <v>8</v>
      </c>
      <c r="B9" s="8" t="n">
        <v>1120</v>
      </c>
      <c r="C9" s="7" t="s">
        <v>9</v>
      </c>
      <c r="D9" s="8" t="n">
        <v>93</v>
      </c>
      <c r="E9" s="7" t="s">
        <v>10</v>
      </c>
      <c r="F9" s="8" t="n">
        <v>5</v>
      </c>
      <c r="G9" s="7" t="s">
        <v>11</v>
      </c>
      <c r="H9" s="8" t="n">
        <v>2026</v>
      </c>
      <c r="I9" s="7" t="s">
        <v>12</v>
      </c>
      <c r="J9" s="9" t="n">
        <v>1</v>
      </c>
      <c r="K9" s="7" t="s">
        <v>13</v>
      </c>
      <c r="L9" s="8" t="n">
        <v>0</v>
      </c>
    </row>
    <row r="10" customFormat="false" ht="26.85" hidden="false" customHeight="false" outlineLevel="0" collapsed="false">
      <c r="A10" s="7" t="s">
        <v>14</v>
      </c>
      <c r="B10" s="8" t="n">
        <v>5</v>
      </c>
      <c r="C10" s="7" t="s">
        <v>15</v>
      </c>
      <c r="D10" s="8" t="n">
        <v>110</v>
      </c>
      <c r="E10" s="7" t="s">
        <v>16</v>
      </c>
      <c r="F10" s="8" t="n">
        <v>95</v>
      </c>
      <c r="G10" s="7" t="s">
        <v>17</v>
      </c>
      <c r="H10" s="8" t="n">
        <v>35</v>
      </c>
      <c r="I10" s="7" t="s">
        <v>18</v>
      </c>
      <c r="J10" s="8" t="n">
        <v>310</v>
      </c>
      <c r="K10" s="7" t="s">
        <v>19</v>
      </c>
      <c r="L10" s="8" t="n">
        <v>0</v>
      </c>
    </row>
    <row r="11" customFormat="false" ht="26.85" hidden="false" customHeight="false" outlineLevel="0" collapsed="false">
      <c r="A11" s="7" t="s">
        <v>20</v>
      </c>
      <c r="B11" s="8" t="n">
        <v>22</v>
      </c>
      <c r="C11" s="7" t="s">
        <v>21</v>
      </c>
      <c r="D11" s="8" t="n">
        <v>30</v>
      </c>
      <c r="E11" s="7" t="s">
        <v>22</v>
      </c>
      <c r="F11" s="8" t="n">
        <v>5</v>
      </c>
      <c r="G11" s="7" t="s">
        <v>23</v>
      </c>
      <c r="H11" s="8" t="n">
        <v>5</v>
      </c>
      <c r="I11" s="7" t="s">
        <v>24</v>
      </c>
      <c r="J11" s="8" t="n">
        <v>20</v>
      </c>
      <c r="K11" s="7" t="s">
        <v>25</v>
      </c>
      <c r="L11" s="8" t="n">
        <v>1.6</v>
      </c>
    </row>
    <row r="12" customFormat="false" ht="26.85" hidden="false" customHeight="false" outlineLevel="0" collapsed="false">
      <c r="A12" s="7" t="s">
        <v>26</v>
      </c>
      <c r="B12" s="10" t="n">
        <v>0.98176</v>
      </c>
      <c r="C12" s="7" t="s">
        <v>27</v>
      </c>
      <c r="D12" s="11" t="n">
        <v>0.015686</v>
      </c>
      <c r="E12" s="7" t="s">
        <v>28</v>
      </c>
      <c r="F12" s="8" t="n">
        <v>0</v>
      </c>
      <c r="G12" s="7" t="s">
        <v>29</v>
      </c>
      <c r="H12" s="8" t="s">
        <v>30</v>
      </c>
      <c r="I12" s="7" t="s">
        <v>31</v>
      </c>
      <c r="J12" s="8" t="s">
        <v>32</v>
      </c>
      <c r="K12" s="7" t="s">
        <v>33</v>
      </c>
      <c r="L12" s="8" t="n">
        <v>0</v>
      </c>
    </row>
    <row r="15" customFormat="false" ht="30" hidden="false" customHeight="true" outlineLevel="0" collapsed="false">
      <c r="A15" s="12" t="s">
        <v>34</v>
      </c>
      <c r="B15" s="13" t="s">
        <v>35</v>
      </c>
      <c r="C15" s="13" t="s">
        <v>36</v>
      </c>
      <c r="D15" s="13" t="s">
        <v>37</v>
      </c>
      <c r="E15" s="14" t="s">
        <v>38</v>
      </c>
    </row>
    <row r="16" customFormat="false" ht="15" hidden="false" customHeight="false" outlineLevel="0" collapsed="false">
      <c r="A16" s="15" t="s">
        <v>39</v>
      </c>
      <c r="B16" s="15" t="n">
        <v>98</v>
      </c>
      <c r="C16" s="15" t="n">
        <v>98</v>
      </c>
      <c r="D16" s="15" t="n">
        <v>0</v>
      </c>
      <c r="E16" s="16" t="n">
        <v>1</v>
      </c>
    </row>
    <row r="17" customFormat="false" ht="26.85" hidden="false" customHeight="false" outlineLevel="0" collapsed="false">
      <c r="A17" s="17" t="s">
        <v>40</v>
      </c>
      <c r="B17" s="17" t="n">
        <v>60</v>
      </c>
      <c r="C17" s="17" t="n">
        <v>60</v>
      </c>
      <c r="D17" s="17" t="n">
        <v>0</v>
      </c>
      <c r="E17" s="18" t="n">
        <v>1</v>
      </c>
    </row>
    <row r="18" customFormat="false" ht="15" hidden="false" customHeight="false" outlineLevel="0" collapsed="false">
      <c r="A18" s="17" t="s">
        <v>41</v>
      </c>
      <c r="B18" s="17" t="n">
        <v>35</v>
      </c>
      <c r="C18" s="17" t="n">
        <v>35</v>
      </c>
      <c r="D18" s="17" t="n">
        <v>0</v>
      </c>
      <c r="E18" s="18" t="n">
        <v>1</v>
      </c>
    </row>
    <row r="19" customFormat="false" ht="15" hidden="false" customHeight="false" outlineLevel="0" collapsed="false">
      <c r="A19" s="17" t="s">
        <v>42</v>
      </c>
      <c r="B19" s="17" t="n">
        <v>20</v>
      </c>
      <c r="C19" s="17" t="n">
        <v>20</v>
      </c>
      <c r="D19" s="17" t="n">
        <v>0</v>
      </c>
      <c r="E19" s="18" t="n">
        <v>1</v>
      </c>
    </row>
    <row r="20" customFormat="false" ht="26.85" hidden="false" customHeight="false" outlineLevel="0" collapsed="false">
      <c r="A20" s="17" t="s">
        <v>43</v>
      </c>
      <c r="B20" s="17" t="n">
        <v>20</v>
      </c>
      <c r="C20" s="17" t="n">
        <v>20</v>
      </c>
      <c r="D20" s="17" t="n">
        <v>0</v>
      </c>
      <c r="E20" s="18" t="n">
        <v>1</v>
      </c>
    </row>
    <row r="21" customFormat="false" ht="26.85" hidden="false" customHeight="false" outlineLevel="0" collapsed="false">
      <c r="A21" s="17" t="s">
        <v>44</v>
      </c>
      <c r="B21" s="17" t="n">
        <v>20</v>
      </c>
      <c r="C21" s="17" t="n">
        <v>20</v>
      </c>
      <c r="D21" s="17" t="n">
        <v>0</v>
      </c>
      <c r="E21" s="18" t="n">
        <v>1</v>
      </c>
    </row>
    <row r="22" customFormat="false" ht="15" hidden="false" customHeight="false" outlineLevel="0" collapsed="false">
      <c r="A22" s="17" t="s">
        <v>45</v>
      </c>
      <c r="B22" s="17" t="n">
        <v>14</v>
      </c>
      <c r="C22" s="17" t="n">
        <v>14</v>
      </c>
      <c r="D22" s="17" t="n">
        <v>0</v>
      </c>
      <c r="E22" s="18" t="n">
        <v>1</v>
      </c>
    </row>
    <row r="23" customFormat="false" ht="15" hidden="false" customHeight="false" outlineLevel="0" collapsed="false">
      <c r="A23" s="17" t="s">
        <v>46</v>
      </c>
      <c r="B23" s="17" t="n">
        <v>9</v>
      </c>
      <c r="C23" s="17" t="n">
        <v>9</v>
      </c>
      <c r="D23" s="17" t="n">
        <v>0</v>
      </c>
      <c r="E23" s="18" t="n">
        <v>1</v>
      </c>
    </row>
    <row r="24" customFormat="false" ht="26.85" hidden="false" customHeight="false" outlineLevel="0" collapsed="false">
      <c r="A24" s="17" t="s">
        <v>47</v>
      </c>
      <c r="B24" s="17" t="n">
        <v>9</v>
      </c>
      <c r="C24" s="17" t="n">
        <v>9</v>
      </c>
      <c r="D24" s="17" t="n">
        <v>0</v>
      </c>
      <c r="E24" s="18" t="n">
        <v>1</v>
      </c>
    </row>
    <row r="25" customFormat="false" ht="15" hidden="false" customHeight="false" outlineLevel="0" collapsed="false">
      <c r="A25" s="17" t="s">
        <v>48</v>
      </c>
      <c r="B25" s="17" t="n">
        <v>8</v>
      </c>
      <c r="C25" s="17" t="n">
        <v>8</v>
      </c>
      <c r="D25" s="17" t="n">
        <v>0</v>
      </c>
      <c r="E25" s="18" t="n">
        <v>1</v>
      </c>
    </row>
    <row r="26" customFormat="false" ht="15" hidden="false" customHeight="false" outlineLevel="0" collapsed="false">
      <c r="A26" s="17" t="s">
        <v>49</v>
      </c>
      <c r="B26" s="17" t="n">
        <v>3</v>
      </c>
      <c r="C26" s="17" t="n">
        <v>3</v>
      </c>
      <c r="D26" s="17" t="n">
        <v>0</v>
      </c>
      <c r="E26" s="18" t="n">
        <v>1</v>
      </c>
    </row>
    <row r="27" customFormat="false" ht="26.85" hidden="false" customHeight="false" outlineLevel="0" collapsed="false">
      <c r="A27" s="17" t="s">
        <v>50</v>
      </c>
      <c r="B27" s="17" t="n">
        <v>2</v>
      </c>
      <c r="C27" s="17" t="n">
        <v>2</v>
      </c>
      <c r="D27" s="17" t="n">
        <v>0</v>
      </c>
      <c r="E27" s="18" t="n">
        <v>1</v>
      </c>
    </row>
    <row r="28" customFormat="false" ht="15" hidden="false" customHeight="false" outlineLevel="0" collapsed="false">
      <c r="A28" s="17" t="s">
        <v>51</v>
      </c>
      <c r="B28" s="17" t="n">
        <v>1</v>
      </c>
      <c r="C28" s="17" t="n">
        <v>1</v>
      </c>
      <c r="D28" s="17" t="n">
        <v>0</v>
      </c>
      <c r="E28" s="18" t="n">
        <v>1</v>
      </c>
    </row>
    <row r="29" customFormat="false" ht="15" hidden="false" customHeight="false" outlineLevel="0" collapsed="false">
      <c r="A29" s="17" t="s">
        <v>52</v>
      </c>
      <c r="B29" s="17" t="n">
        <v>1</v>
      </c>
      <c r="C29" s="17" t="n">
        <v>1</v>
      </c>
      <c r="D29" s="17" t="n">
        <v>0</v>
      </c>
      <c r="E29" s="18" t="n">
        <v>1</v>
      </c>
    </row>
  </sheetData>
  <mergeCells count="13">
    <mergeCell ref="A1:L1"/>
    <mergeCell ref="A2:L2"/>
    <mergeCell ref="A4:B4"/>
    <mergeCell ref="C4:D4"/>
    <mergeCell ref="E4:F4"/>
    <mergeCell ref="G4:H4"/>
    <mergeCell ref="I4:L4"/>
    <mergeCell ref="A5:B6"/>
    <mergeCell ref="C5:D6"/>
    <mergeCell ref="E5:F6"/>
    <mergeCell ref="G5:H6"/>
    <mergeCell ref="I5:L6"/>
    <mergeCell ref="A8:L8"/>
  </mergeCells>
  <conditionalFormatting sqref="I5:L6">
    <cfRule type="containsText" priority="2" operator="containsText" aboveAverage="0" equalAverage="0" bottom="0" percent="0" rank="0" text="PASS" dxfId="4">
      <formula>NOT(ISERROR(SEARCH("PASS",I5)))</formula>
    </cfRule>
    <cfRule type="containsText" priority="3" operator="containsText" aboveAverage="0" equalAverage="0" bottom="0" percent="0" rank="0" text="APPROVED" dxfId="5">
      <formula>NOT(ISERROR(SEARCH("APPROVED",I5)))</formula>
    </cfRule>
    <cfRule type="containsText" priority="4" operator="containsText" aboveAverage="0" equalAverage="0" bottom="0" percent="0" rank="0" text="FAIL" dxfId="6">
      <formula>NOT(ISERROR(SEARCH("FAIL",I5)))</formula>
    </cfRule>
    <cfRule type="containsText" priority="5" operator="containsText" aboveAverage="0" equalAverage="0" bottom="0" percent="0" rank="0" text="BLOCKED" dxfId="7">
      <formula>NOT(ISERROR(SEARCH("BLOCKED",I5)))</formula>
    </cfRule>
    <cfRule type="containsText" priority="6" operator="containsText" aboveAverage="0" equalAverage="0" bottom="0" percent="0" rank="0" text="OPEN" dxfId="8">
      <formula>NOT(ISERROR(SEARCH("OPEN",I5)))</formula>
    </cfRule>
  </conditionalFormatting>
  <conditionalFormatting sqref="D16:D29">
    <cfRule type="containsText" priority="7" operator="containsText" aboveAverage="0" equalAverage="0" bottom="0" percent="0" rank="0" text="PASS" dxfId="9">
      <formula>NOT(ISERROR(SEARCH("PASS",D16)))</formula>
    </cfRule>
    <cfRule type="containsText" priority="8" operator="containsText" aboveAverage="0" equalAverage="0" bottom="0" percent="0" rank="0" text="APPROVED" dxfId="10">
      <formula>NOT(ISERROR(SEARCH("APPROVED",D16)))</formula>
    </cfRule>
    <cfRule type="containsText" priority="9" operator="containsText" aboveAverage="0" equalAverage="0" bottom="0" percent="0" rank="0" text="FAIL" dxfId="11">
      <formula>NOT(ISERROR(SEARCH("FAIL",D16)))</formula>
    </cfRule>
    <cfRule type="containsText" priority="10" operator="containsText" aboveAverage="0" equalAverage="0" bottom="0" percent="0" rank="0" text="BLOCKED" dxfId="12">
      <formula>NOT(ISERROR(SEARCH("BLOCKED",D16)))</formula>
    </cfRule>
    <cfRule type="containsText" priority="11" operator="containsText" aboveAverage="0" equalAverage="0" bottom="0" percent="0" rank="0" text="OPEN" dxfId="13">
      <formula>NOT(ISERROR(SEARCH("OPEN",D16)))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3"/>
    <col collapsed="false" customWidth="true" hidden="false" outlineLevel="0" max="5" min="5" style="0" width="42"/>
    <col collapsed="false" customWidth="true" hidden="false" outlineLevel="0" max="7" min="6" style="0" width="28"/>
    <col collapsed="false" customWidth="true" hidden="false" outlineLevel="0" max="8" min="8" style="0" width="25"/>
    <col collapsed="false" customWidth="true" hidden="false" outlineLevel="0" max="10" min="9" style="0" width="12"/>
    <col collapsed="false" customWidth="true" hidden="false" outlineLevel="0" max="11" min="11" style="0" width="35"/>
  </cols>
  <sheetData>
    <row r="1" customFormat="false" ht="32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0" hidden="false" customHeight="true" outlineLevel="0" collapsed="false">
      <c r="A5" s="12" t="s">
        <v>55</v>
      </c>
      <c r="B5" s="13" t="s">
        <v>56</v>
      </c>
      <c r="C5" s="13" t="s">
        <v>57</v>
      </c>
      <c r="D5" s="13" t="s">
        <v>58</v>
      </c>
      <c r="E5" s="13" t="s">
        <v>59</v>
      </c>
      <c r="F5" s="13" t="s">
        <v>60</v>
      </c>
      <c r="G5" s="13" t="s">
        <v>61</v>
      </c>
      <c r="H5" s="13" t="s">
        <v>62</v>
      </c>
      <c r="I5" s="13" t="s">
        <v>63</v>
      </c>
      <c r="J5" s="13" t="s">
        <v>64</v>
      </c>
      <c r="K5" s="14" t="s">
        <v>65</v>
      </c>
    </row>
    <row r="6" customFormat="false" ht="38" hidden="false" customHeight="true" outlineLevel="0" collapsed="false">
      <c r="A6" s="15" t="s">
        <v>66</v>
      </c>
      <c r="B6" s="15" t="s">
        <v>67</v>
      </c>
      <c r="C6" s="15" t="s">
        <v>68</v>
      </c>
      <c r="D6" s="15" t="s">
        <v>46</v>
      </c>
      <c r="E6" s="15" t="s">
        <v>69</v>
      </c>
      <c r="F6" s="15" t="s">
        <v>70</v>
      </c>
      <c r="G6" s="15" t="s">
        <v>71</v>
      </c>
      <c r="H6" s="15" t="s">
        <v>72</v>
      </c>
      <c r="I6" s="15" t="s">
        <v>73</v>
      </c>
      <c r="J6" s="15" t="s">
        <v>74</v>
      </c>
      <c r="K6" s="15" t="s">
        <v>75</v>
      </c>
    </row>
    <row r="7" customFormat="false" ht="38" hidden="false" customHeight="true" outlineLevel="0" collapsed="false">
      <c r="A7" s="17" t="s">
        <v>76</v>
      </c>
      <c r="B7" s="17" t="s">
        <v>77</v>
      </c>
      <c r="C7" s="17" t="s">
        <v>68</v>
      </c>
      <c r="D7" s="17" t="s">
        <v>46</v>
      </c>
      <c r="E7" s="17" t="s">
        <v>78</v>
      </c>
      <c r="F7" s="17" t="s">
        <v>79</v>
      </c>
      <c r="G7" s="17" t="s">
        <v>79</v>
      </c>
      <c r="H7" s="17" t="s">
        <v>72</v>
      </c>
      <c r="I7" s="17" t="s">
        <v>73</v>
      </c>
      <c r="J7" s="17" t="s">
        <v>74</v>
      </c>
      <c r="K7" s="17" t="s">
        <v>80</v>
      </c>
    </row>
    <row r="8" customFormat="false" ht="38" hidden="false" customHeight="true" outlineLevel="0" collapsed="false">
      <c r="A8" s="17" t="s">
        <v>81</v>
      </c>
      <c r="B8" s="17" t="s">
        <v>82</v>
      </c>
      <c r="C8" s="17" t="s">
        <v>68</v>
      </c>
      <c r="D8" s="17" t="s">
        <v>46</v>
      </c>
      <c r="E8" s="17" t="s">
        <v>83</v>
      </c>
      <c r="F8" s="17" t="s">
        <v>84</v>
      </c>
      <c r="G8" s="17" t="s">
        <v>85</v>
      </c>
      <c r="H8" s="17" t="s">
        <v>72</v>
      </c>
      <c r="I8" s="17" t="s">
        <v>73</v>
      </c>
      <c r="J8" s="17" t="s">
        <v>74</v>
      </c>
      <c r="K8" s="17" t="s">
        <v>86</v>
      </c>
    </row>
    <row r="9" customFormat="false" ht="38" hidden="false" customHeight="true" outlineLevel="0" collapsed="false">
      <c r="A9" s="17" t="s">
        <v>87</v>
      </c>
      <c r="B9" s="17" t="s">
        <v>88</v>
      </c>
      <c r="C9" s="17" t="s">
        <v>68</v>
      </c>
      <c r="D9" s="17" t="s">
        <v>46</v>
      </c>
      <c r="E9" s="17" t="s">
        <v>89</v>
      </c>
      <c r="F9" s="17" t="s">
        <v>90</v>
      </c>
      <c r="G9" s="17" t="s">
        <v>71</v>
      </c>
      <c r="H9" s="17" t="s">
        <v>72</v>
      </c>
      <c r="I9" s="17" t="s">
        <v>73</v>
      </c>
      <c r="J9" s="17" t="s">
        <v>74</v>
      </c>
      <c r="K9" s="17" t="s">
        <v>91</v>
      </c>
    </row>
    <row r="10" customFormat="false" ht="38" hidden="false" customHeight="true" outlineLevel="0" collapsed="false">
      <c r="A10" s="17" t="s">
        <v>92</v>
      </c>
      <c r="B10" s="17" t="s">
        <v>93</v>
      </c>
      <c r="C10" s="17" t="s">
        <v>68</v>
      </c>
      <c r="D10" s="17" t="s">
        <v>46</v>
      </c>
      <c r="E10" s="17" t="s">
        <v>94</v>
      </c>
      <c r="F10" s="17" t="s">
        <v>95</v>
      </c>
      <c r="G10" s="17" t="s">
        <v>71</v>
      </c>
      <c r="H10" s="17" t="s">
        <v>72</v>
      </c>
      <c r="I10" s="17" t="s">
        <v>73</v>
      </c>
      <c r="J10" s="17" t="s">
        <v>74</v>
      </c>
      <c r="K10" s="17" t="s">
        <v>91</v>
      </c>
    </row>
    <row r="11" customFormat="false" ht="38" hidden="false" customHeight="true" outlineLevel="0" collapsed="false">
      <c r="A11" s="17" t="s">
        <v>96</v>
      </c>
      <c r="B11" s="17" t="s">
        <v>97</v>
      </c>
      <c r="C11" s="17" t="s">
        <v>68</v>
      </c>
      <c r="D11" s="17" t="s">
        <v>46</v>
      </c>
      <c r="E11" s="17" t="s">
        <v>98</v>
      </c>
      <c r="F11" s="17" t="s">
        <v>99</v>
      </c>
      <c r="G11" s="17" t="s">
        <v>71</v>
      </c>
      <c r="H11" s="17" t="s">
        <v>72</v>
      </c>
      <c r="I11" s="17" t="s">
        <v>73</v>
      </c>
      <c r="J11" s="17" t="s">
        <v>74</v>
      </c>
      <c r="K11" s="17" t="s">
        <v>91</v>
      </c>
    </row>
    <row r="12" customFormat="false" ht="38" hidden="false" customHeight="true" outlineLevel="0" collapsed="false">
      <c r="A12" s="17" t="s">
        <v>100</v>
      </c>
      <c r="B12" s="17" t="s">
        <v>101</v>
      </c>
      <c r="C12" s="17" t="s">
        <v>68</v>
      </c>
      <c r="D12" s="17" t="s">
        <v>46</v>
      </c>
      <c r="E12" s="17" t="s">
        <v>102</v>
      </c>
      <c r="F12" s="17" t="s">
        <v>103</v>
      </c>
      <c r="G12" s="17" t="s">
        <v>104</v>
      </c>
      <c r="H12" s="17" t="s">
        <v>72</v>
      </c>
      <c r="I12" s="17" t="s">
        <v>105</v>
      </c>
      <c r="J12" s="17" t="s">
        <v>74</v>
      </c>
      <c r="K12" s="17" t="s">
        <v>91</v>
      </c>
    </row>
    <row r="13" customFormat="false" ht="38" hidden="false" customHeight="true" outlineLevel="0" collapsed="false">
      <c r="A13" s="17" t="s">
        <v>106</v>
      </c>
      <c r="B13" s="17" t="s">
        <v>107</v>
      </c>
      <c r="C13" s="17" t="s">
        <v>68</v>
      </c>
      <c r="D13" s="17" t="s">
        <v>46</v>
      </c>
      <c r="E13" s="17" t="s">
        <v>108</v>
      </c>
      <c r="F13" s="17" t="s">
        <v>109</v>
      </c>
      <c r="G13" s="17" t="s">
        <v>71</v>
      </c>
      <c r="H13" s="17" t="s">
        <v>72</v>
      </c>
      <c r="I13" s="17" t="s">
        <v>105</v>
      </c>
      <c r="J13" s="17" t="s">
        <v>74</v>
      </c>
      <c r="K13" s="17" t="s">
        <v>91</v>
      </c>
    </row>
    <row r="14" customFormat="false" ht="38" hidden="false" customHeight="true" outlineLevel="0" collapsed="false">
      <c r="A14" s="17" t="s">
        <v>110</v>
      </c>
      <c r="B14" s="17" t="s">
        <v>111</v>
      </c>
      <c r="C14" s="17" t="s">
        <v>68</v>
      </c>
      <c r="D14" s="17" t="s">
        <v>46</v>
      </c>
      <c r="E14" s="17" t="s">
        <v>112</v>
      </c>
      <c r="F14" s="17" t="s">
        <v>113</v>
      </c>
      <c r="G14" s="17" t="s">
        <v>71</v>
      </c>
      <c r="H14" s="17" t="s">
        <v>72</v>
      </c>
      <c r="I14" s="17" t="s">
        <v>105</v>
      </c>
      <c r="J14" s="17" t="s">
        <v>74</v>
      </c>
      <c r="K14" s="17" t="s">
        <v>91</v>
      </c>
    </row>
    <row r="15" customFormat="false" ht="38" hidden="false" customHeight="true" outlineLevel="0" collapsed="false">
      <c r="A15" s="17" t="s">
        <v>114</v>
      </c>
      <c r="B15" s="17" t="s">
        <v>115</v>
      </c>
      <c r="C15" s="17" t="s">
        <v>68</v>
      </c>
      <c r="D15" s="17" t="s">
        <v>42</v>
      </c>
      <c r="E15" s="17" t="s">
        <v>116</v>
      </c>
      <c r="F15" s="17" t="s">
        <v>117</v>
      </c>
      <c r="G15" s="17" t="s">
        <v>117</v>
      </c>
      <c r="H15" s="17" t="s">
        <v>72</v>
      </c>
      <c r="I15" s="17" t="s">
        <v>73</v>
      </c>
      <c r="J15" s="17" t="s">
        <v>74</v>
      </c>
      <c r="K15" s="17" t="s">
        <v>118</v>
      </c>
    </row>
    <row r="16" customFormat="false" ht="38" hidden="false" customHeight="true" outlineLevel="0" collapsed="false">
      <c r="A16" s="17" t="s">
        <v>119</v>
      </c>
      <c r="B16" s="17" t="s">
        <v>120</v>
      </c>
      <c r="C16" s="17" t="s">
        <v>68</v>
      </c>
      <c r="D16" s="17" t="s">
        <v>42</v>
      </c>
      <c r="E16" s="17" t="s">
        <v>121</v>
      </c>
      <c r="F16" s="17" t="s">
        <v>122</v>
      </c>
      <c r="G16" s="17" t="s">
        <v>122</v>
      </c>
      <c r="H16" s="17" t="s">
        <v>72</v>
      </c>
      <c r="I16" s="17" t="s">
        <v>105</v>
      </c>
      <c r="J16" s="17" t="s">
        <v>74</v>
      </c>
      <c r="K16" s="17" t="s">
        <v>118</v>
      </c>
    </row>
    <row r="17" customFormat="false" ht="38" hidden="false" customHeight="true" outlineLevel="0" collapsed="false">
      <c r="A17" s="17" t="s">
        <v>123</v>
      </c>
      <c r="B17" s="17" t="s">
        <v>124</v>
      </c>
      <c r="C17" s="17" t="s">
        <v>68</v>
      </c>
      <c r="D17" s="17" t="s">
        <v>42</v>
      </c>
      <c r="E17" s="17" t="s">
        <v>125</v>
      </c>
      <c r="F17" s="17" t="s">
        <v>126</v>
      </c>
      <c r="G17" s="17" t="s">
        <v>126</v>
      </c>
      <c r="H17" s="17" t="s">
        <v>72</v>
      </c>
      <c r="I17" s="17" t="s">
        <v>73</v>
      </c>
      <c r="J17" s="17" t="s">
        <v>74</v>
      </c>
      <c r="K17" s="17" t="s">
        <v>118</v>
      </c>
    </row>
    <row r="18" customFormat="false" ht="38" hidden="false" customHeight="true" outlineLevel="0" collapsed="false">
      <c r="A18" s="17" t="s">
        <v>127</v>
      </c>
      <c r="B18" s="17" t="s">
        <v>128</v>
      </c>
      <c r="C18" s="17" t="s">
        <v>68</v>
      </c>
      <c r="D18" s="17" t="s">
        <v>42</v>
      </c>
      <c r="E18" s="17" t="s">
        <v>129</v>
      </c>
      <c r="F18" s="17" t="s">
        <v>130</v>
      </c>
      <c r="G18" s="17" t="s">
        <v>130</v>
      </c>
      <c r="H18" s="17" t="s">
        <v>72</v>
      </c>
      <c r="I18" s="17" t="s">
        <v>73</v>
      </c>
      <c r="J18" s="17" t="s">
        <v>74</v>
      </c>
      <c r="K18" s="17" t="s">
        <v>118</v>
      </c>
    </row>
    <row r="19" customFormat="false" ht="38" hidden="false" customHeight="true" outlineLevel="0" collapsed="false">
      <c r="A19" s="17" t="s">
        <v>131</v>
      </c>
      <c r="B19" s="17" t="s">
        <v>132</v>
      </c>
      <c r="C19" s="17" t="s">
        <v>68</v>
      </c>
      <c r="D19" s="17" t="s">
        <v>42</v>
      </c>
      <c r="E19" s="17" t="s">
        <v>133</v>
      </c>
      <c r="F19" s="17" t="s">
        <v>134</v>
      </c>
      <c r="G19" s="17" t="s">
        <v>135</v>
      </c>
      <c r="H19" s="17" t="s">
        <v>72</v>
      </c>
      <c r="I19" s="17" t="s">
        <v>73</v>
      </c>
      <c r="J19" s="17" t="s">
        <v>74</v>
      </c>
      <c r="K19" s="17" t="s">
        <v>118</v>
      </c>
    </row>
    <row r="20" customFormat="false" ht="38" hidden="false" customHeight="true" outlineLevel="0" collapsed="false">
      <c r="A20" s="17" t="s">
        <v>136</v>
      </c>
      <c r="B20" s="17" t="s">
        <v>137</v>
      </c>
      <c r="C20" s="17" t="s">
        <v>68</v>
      </c>
      <c r="D20" s="17" t="s">
        <v>42</v>
      </c>
      <c r="E20" s="17" t="s">
        <v>138</v>
      </c>
      <c r="F20" s="17" t="s">
        <v>139</v>
      </c>
      <c r="G20" s="17" t="s">
        <v>140</v>
      </c>
      <c r="H20" s="17" t="s">
        <v>72</v>
      </c>
      <c r="I20" s="17" t="s">
        <v>73</v>
      </c>
      <c r="J20" s="17" t="s">
        <v>74</v>
      </c>
      <c r="K20" s="17" t="s">
        <v>118</v>
      </c>
    </row>
    <row r="21" customFormat="false" ht="38" hidden="false" customHeight="true" outlineLevel="0" collapsed="false">
      <c r="A21" s="17" t="s">
        <v>141</v>
      </c>
      <c r="B21" s="17" t="s">
        <v>142</v>
      </c>
      <c r="C21" s="17" t="s">
        <v>68</v>
      </c>
      <c r="D21" s="17" t="s">
        <v>42</v>
      </c>
      <c r="E21" s="17" t="s">
        <v>143</v>
      </c>
      <c r="F21" s="17" t="s">
        <v>144</v>
      </c>
      <c r="G21" s="17" t="s">
        <v>144</v>
      </c>
      <c r="H21" s="17" t="s">
        <v>72</v>
      </c>
      <c r="I21" s="17" t="s">
        <v>105</v>
      </c>
      <c r="J21" s="17" t="s">
        <v>74</v>
      </c>
      <c r="K21" s="17" t="s">
        <v>118</v>
      </c>
    </row>
    <row r="22" customFormat="false" ht="38" hidden="false" customHeight="true" outlineLevel="0" collapsed="false">
      <c r="A22" s="17" t="s">
        <v>145</v>
      </c>
      <c r="B22" s="17" t="s">
        <v>146</v>
      </c>
      <c r="C22" s="17" t="s">
        <v>68</v>
      </c>
      <c r="D22" s="17" t="s">
        <v>42</v>
      </c>
      <c r="E22" s="17" t="s">
        <v>147</v>
      </c>
      <c r="F22" s="17" t="s">
        <v>117</v>
      </c>
      <c r="G22" s="17" t="s">
        <v>117</v>
      </c>
      <c r="H22" s="17" t="s">
        <v>72</v>
      </c>
      <c r="I22" s="17" t="s">
        <v>73</v>
      </c>
      <c r="J22" s="17" t="s">
        <v>74</v>
      </c>
      <c r="K22" s="17" t="s">
        <v>118</v>
      </c>
    </row>
    <row r="23" customFormat="false" ht="38" hidden="false" customHeight="true" outlineLevel="0" collapsed="false">
      <c r="A23" s="17" t="s">
        <v>148</v>
      </c>
      <c r="B23" s="17" t="s">
        <v>149</v>
      </c>
      <c r="C23" s="17" t="s">
        <v>68</v>
      </c>
      <c r="D23" s="17" t="s">
        <v>42</v>
      </c>
      <c r="E23" s="17" t="s">
        <v>150</v>
      </c>
      <c r="F23" s="17" t="s">
        <v>151</v>
      </c>
      <c r="G23" s="17" t="s">
        <v>151</v>
      </c>
      <c r="H23" s="17" t="s">
        <v>72</v>
      </c>
      <c r="I23" s="17" t="s">
        <v>105</v>
      </c>
      <c r="J23" s="17" t="s">
        <v>74</v>
      </c>
      <c r="K23" s="17" t="s">
        <v>118</v>
      </c>
    </row>
    <row r="24" customFormat="false" ht="38" hidden="false" customHeight="true" outlineLevel="0" collapsed="false">
      <c r="A24" s="17" t="s">
        <v>152</v>
      </c>
      <c r="B24" s="17" t="s">
        <v>153</v>
      </c>
      <c r="C24" s="17" t="s">
        <v>68</v>
      </c>
      <c r="D24" s="17" t="s">
        <v>42</v>
      </c>
      <c r="E24" s="17" t="s">
        <v>154</v>
      </c>
      <c r="F24" s="17" t="s">
        <v>155</v>
      </c>
      <c r="G24" s="17" t="s">
        <v>156</v>
      </c>
      <c r="H24" s="17" t="s">
        <v>72</v>
      </c>
      <c r="I24" s="17" t="s">
        <v>73</v>
      </c>
      <c r="J24" s="17" t="s">
        <v>74</v>
      </c>
      <c r="K24" s="17" t="s">
        <v>118</v>
      </c>
    </row>
    <row r="25" customFormat="false" ht="38" hidden="false" customHeight="true" outlineLevel="0" collapsed="false">
      <c r="A25" s="17" t="s">
        <v>157</v>
      </c>
      <c r="B25" s="17" t="s">
        <v>158</v>
      </c>
      <c r="C25" s="17" t="s">
        <v>68</v>
      </c>
      <c r="D25" s="17" t="s">
        <v>42</v>
      </c>
      <c r="E25" s="17" t="s">
        <v>159</v>
      </c>
      <c r="F25" s="17" t="s">
        <v>160</v>
      </c>
      <c r="G25" s="17" t="s">
        <v>160</v>
      </c>
      <c r="H25" s="17" t="s">
        <v>72</v>
      </c>
      <c r="I25" s="17" t="s">
        <v>105</v>
      </c>
      <c r="J25" s="17" t="s">
        <v>74</v>
      </c>
      <c r="K25" s="17" t="s">
        <v>118</v>
      </c>
    </row>
    <row r="26" customFormat="false" ht="38" hidden="false" customHeight="true" outlineLevel="0" collapsed="false">
      <c r="A26" s="17" t="s">
        <v>161</v>
      </c>
      <c r="B26" s="17" t="s">
        <v>162</v>
      </c>
      <c r="C26" s="17" t="s">
        <v>68</v>
      </c>
      <c r="D26" s="17" t="s">
        <v>42</v>
      </c>
      <c r="E26" s="17" t="s">
        <v>163</v>
      </c>
      <c r="F26" s="17" t="s">
        <v>164</v>
      </c>
      <c r="G26" s="17" t="s">
        <v>164</v>
      </c>
      <c r="H26" s="17" t="s">
        <v>72</v>
      </c>
      <c r="I26" s="17" t="s">
        <v>73</v>
      </c>
      <c r="J26" s="17" t="s">
        <v>74</v>
      </c>
      <c r="K26" s="17" t="s">
        <v>118</v>
      </c>
    </row>
    <row r="27" customFormat="false" ht="38" hidden="false" customHeight="true" outlineLevel="0" collapsed="false">
      <c r="A27" s="17" t="s">
        <v>165</v>
      </c>
      <c r="B27" s="17" t="s">
        <v>166</v>
      </c>
      <c r="C27" s="17" t="s">
        <v>68</v>
      </c>
      <c r="D27" s="17" t="s">
        <v>42</v>
      </c>
      <c r="E27" s="17" t="s">
        <v>167</v>
      </c>
      <c r="F27" s="17" t="s">
        <v>117</v>
      </c>
      <c r="G27" s="17" t="s">
        <v>117</v>
      </c>
      <c r="H27" s="17" t="s">
        <v>72</v>
      </c>
      <c r="I27" s="17" t="s">
        <v>73</v>
      </c>
      <c r="J27" s="17" t="s">
        <v>74</v>
      </c>
      <c r="K27" s="17" t="s">
        <v>118</v>
      </c>
    </row>
    <row r="28" customFormat="false" ht="38" hidden="false" customHeight="true" outlineLevel="0" collapsed="false">
      <c r="A28" s="17" t="s">
        <v>168</v>
      </c>
      <c r="B28" s="17" t="s">
        <v>169</v>
      </c>
      <c r="C28" s="17" t="s">
        <v>68</v>
      </c>
      <c r="D28" s="17" t="s">
        <v>42</v>
      </c>
      <c r="E28" s="17" t="s">
        <v>170</v>
      </c>
      <c r="F28" s="17" t="s">
        <v>171</v>
      </c>
      <c r="G28" s="17" t="s">
        <v>171</v>
      </c>
      <c r="H28" s="17" t="s">
        <v>72</v>
      </c>
      <c r="I28" s="17" t="s">
        <v>105</v>
      </c>
      <c r="J28" s="17" t="s">
        <v>74</v>
      </c>
      <c r="K28" s="17" t="s">
        <v>118</v>
      </c>
    </row>
    <row r="29" customFormat="false" ht="38" hidden="false" customHeight="true" outlineLevel="0" collapsed="false">
      <c r="A29" s="17" t="s">
        <v>172</v>
      </c>
      <c r="B29" s="17" t="s">
        <v>173</v>
      </c>
      <c r="C29" s="17" t="s">
        <v>68</v>
      </c>
      <c r="D29" s="17" t="s">
        <v>42</v>
      </c>
      <c r="E29" s="17" t="s">
        <v>174</v>
      </c>
      <c r="F29" s="17" t="s">
        <v>175</v>
      </c>
      <c r="G29" s="17" t="s">
        <v>175</v>
      </c>
      <c r="H29" s="17" t="s">
        <v>72</v>
      </c>
      <c r="I29" s="17" t="s">
        <v>73</v>
      </c>
      <c r="J29" s="17" t="s">
        <v>74</v>
      </c>
      <c r="K29" s="17" t="s">
        <v>118</v>
      </c>
    </row>
    <row r="30" customFormat="false" ht="38" hidden="false" customHeight="true" outlineLevel="0" collapsed="false">
      <c r="A30" s="17" t="s">
        <v>176</v>
      </c>
      <c r="B30" s="17" t="s">
        <v>177</v>
      </c>
      <c r="C30" s="17" t="s">
        <v>68</v>
      </c>
      <c r="D30" s="17" t="s">
        <v>42</v>
      </c>
      <c r="E30" s="17" t="s">
        <v>178</v>
      </c>
      <c r="F30" s="17" t="s">
        <v>164</v>
      </c>
      <c r="G30" s="17" t="s">
        <v>164</v>
      </c>
      <c r="H30" s="17" t="s">
        <v>72</v>
      </c>
      <c r="I30" s="17" t="s">
        <v>73</v>
      </c>
      <c r="J30" s="17" t="s">
        <v>74</v>
      </c>
      <c r="K30" s="17" t="s">
        <v>118</v>
      </c>
    </row>
    <row r="31" customFormat="false" ht="38" hidden="false" customHeight="true" outlineLevel="0" collapsed="false">
      <c r="A31" s="17" t="s">
        <v>179</v>
      </c>
      <c r="B31" s="17" t="s">
        <v>180</v>
      </c>
      <c r="C31" s="17" t="s">
        <v>68</v>
      </c>
      <c r="D31" s="17" t="s">
        <v>42</v>
      </c>
      <c r="E31" s="17" t="s">
        <v>181</v>
      </c>
      <c r="F31" s="17" t="s">
        <v>182</v>
      </c>
      <c r="G31" s="17" t="s">
        <v>183</v>
      </c>
      <c r="H31" s="17" t="s">
        <v>72</v>
      </c>
      <c r="I31" s="17" t="s">
        <v>73</v>
      </c>
      <c r="J31" s="17" t="s">
        <v>74</v>
      </c>
      <c r="K31" s="17" t="s">
        <v>118</v>
      </c>
    </row>
    <row r="32" customFormat="false" ht="38" hidden="false" customHeight="true" outlineLevel="0" collapsed="false">
      <c r="A32" s="17" t="s">
        <v>184</v>
      </c>
      <c r="B32" s="17" t="s">
        <v>185</v>
      </c>
      <c r="C32" s="17" t="s">
        <v>68</v>
      </c>
      <c r="D32" s="17" t="s">
        <v>42</v>
      </c>
      <c r="E32" s="17" t="s">
        <v>186</v>
      </c>
      <c r="F32" s="17" t="s">
        <v>182</v>
      </c>
      <c r="G32" s="17" t="s">
        <v>183</v>
      </c>
      <c r="H32" s="17" t="s">
        <v>72</v>
      </c>
      <c r="I32" s="17" t="s">
        <v>73</v>
      </c>
      <c r="J32" s="17" t="s">
        <v>74</v>
      </c>
      <c r="K32" s="17" t="s">
        <v>118</v>
      </c>
    </row>
    <row r="33" customFormat="false" ht="38" hidden="false" customHeight="true" outlineLevel="0" collapsed="false">
      <c r="A33" s="17" t="s">
        <v>187</v>
      </c>
      <c r="B33" s="17" t="s">
        <v>188</v>
      </c>
      <c r="C33" s="17" t="s">
        <v>68</v>
      </c>
      <c r="D33" s="17" t="s">
        <v>42</v>
      </c>
      <c r="E33" s="17" t="s">
        <v>189</v>
      </c>
      <c r="F33" s="17" t="s">
        <v>182</v>
      </c>
      <c r="G33" s="17" t="s">
        <v>190</v>
      </c>
      <c r="H33" s="17" t="s">
        <v>72</v>
      </c>
      <c r="I33" s="17" t="s">
        <v>105</v>
      </c>
      <c r="J33" s="17" t="s">
        <v>74</v>
      </c>
      <c r="K33" s="17" t="s">
        <v>118</v>
      </c>
    </row>
    <row r="34" customFormat="false" ht="38" hidden="false" customHeight="true" outlineLevel="0" collapsed="false">
      <c r="A34" s="17" t="s">
        <v>191</v>
      </c>
      <c r="B34" s="17" t="s">
        <v>192</v>
      </c>
      <c r="C34" s="17" t="s">
        <v>68</v>
      </c>
      <c r="D34" s="17" t="s">
        <v>42</v>
      </c>
      <c r="E34" s="17" t="s">
        <v>193</v>
      </c>
      <c r="F34" s="17" t="s">
        <v>194</v>
      </c>
      <c r="G34" s="17" t="s">
        <v>195</v>
      </c>
      <c r="H34" s="17" t="s">
        <v>72</v>
      </c>
      <c r="I34" s="17" t="s">
        <v>73</v>
      </c>
      <c r="J34" s="17" t="s">
        <v>74</v>
      </c>
      <c r="K34" s="17" t="s">
        <v>118</v>
      </c>
    </row>
    <row r="35" customFormat="false" ht="38" hidden="false" customHeight="true" outlineLevel="0" collapsed="false">
      <c r="A35" s="17" t="s">
        <v>196</v>
      </c>
      <c r="B35" s="17" t="s">
        <v>197</v>
      </c>
      <c r="C35" s="17" t="s">
        <v>68</v>
      </c>
      <c r="D35" s="17" t="s">
        <v>43</v>
      </c>
      <c r="E35" s="17" t="s">
        <v>198</v>
      </c>
      <c r="F35" s="17" t="s">
        <v>199</v>
      </c>
      <c r="G35" s="17" t="s">
        <v>200</v>
      </c>
      <c r="H35" s="17" t="s">
        <v>72</v>
      </c>
      <c r="I35" s="17" t="s">
        <v>73</v>
      </c>
      <c r="J35" s="17" t="s">
        <v>74</v>
      </c>
      <c r="K35" s="17" t="s">
        <v>201</v>
      </c>
    </row>
    <row r="36" customFormat="false" ht="38" hidden="false" customHeight="true" outlineLevel="0" collapsed="false">
      <c r="A36" s="17" t="s">
        <v>202</v>
      </c>
      <c r="B36" s="17" t="s">
        <v>203</v>
      </c>
      <c r="C36" s="17" t="s">
        <v>68</v>
      </c>
      <c r="D36" s="17" t="s">
        <v>43</v>
      </c>
      <c r="E36" s="17" t="s">
        <v>204</v>
      </c>
      <c r="F36" s="17" t="s">
        <v>205</v>
      </c>
      <c r="G36" s="17" t="s">
        <v>206</v>
      </c>
      <c r="H36" s="17" t="s">
        <v>72</v>
      </c>
      <c r="I36" s="17" t="s">
        <v>73</v>
      </c>
      <c r="J36" s="17" t="s">
        <v>74</v>
      </c>
      <c r="K36" s="17" t="s">
        <v>207</v>
      </c>
    </row>
    <row r="37" customFormat="false" ht="38" hidden="false" customHeight="true" outlineLevel="0" collapsed="false">
      <c r="A37" s="17" t="s">
        <v>208</v>
      </c>
      <c r="B37" s="17" t="s">
        <v>209</v>
      </c>
      <c r="C37" s="17" t="s">
        <v>68</v>
      </c>
      <c r="D37" s="17" t="s">
        <v>43</v>
      </c>
      <c r="E37" s="17" t="s">
        <v>210</v>
      </c>
      <c r="F37" s="17" t="s">
        <v>74</v>
      </c>
      <c r="G37" s="17" t="s">
        <v>74</v>
      </c>
      <c r="H37" s="17" t="s">
        <v>72</v>
      </c>
      <c r="I37" s="17" t="s">
        <v>73</v>
      </c>
      <c r="J37" s="17" t="s">
        <v>74</v>
      </c>
      <c r="K37" s="17" t="s">
        <v>211</v>
      </c>
    </row>
    <row r="38" customFormat="false" ht="38" hidden="false" customHeight="true" outlineLevel="0" collapsed="false">
      <c r="A38" s="17" t="s">
        <v>212</v>
      </c>
      <c r="B38" s="17" t="s">
        <v>197</v>
      </c>
      <c r="C38" s="17" t="s">
        <v>68</v>
      </c>
      <c r="D38" s="17" t="s">
        <v>43</v>
      </c>
      <c r="E38" s="17" t="s">
        <v>213</v>
      </c>
      <c r="F38" s="17" t="s">
        <v>199</v>
      </c>
      <c r="G38" s="17" t="s">
        <v>200</v>
      </c>
      <c r="H38" s="17" t="s">
        <v>72</v>
      </c>
      <c r="I38" s="17" t="s">
        <v>73</v>
      </c>
      <c r="J38" s="17" t="s">
        <v>74</v>
      </c>
      <c r="K38" s="17" t="s">
        <v>201</v>
      </c>
    </row>
    <row r="39" customFormat="false" ht="38" hidden="false" customHeight="true" outlineLevel="0" collapsed="false">
      <c r="A39" s="17" t="s">
        <v>214</v>
      </c>
      <c r="B39" s="17" t="s">
        <v>203</v>
      </c>
      <c r="C39" s="17" t="s">
        <v>68</v>
      </c>
      <c r="D39" s="17" t="s">
        <v>43</v>
      </c>
      <c r="E39" s="17" t="s">
        <v>215</v>
      </c>
      <c r="F39" s="17" t="s">
        <v>205</v>
      </c>
      <c r="G39" s="17" t="s">
        <v>206</v>
      </c>
      <c r="H39" s="17" t="s">
        <v>72</v>
      </c>
      <c r="I39" s="17" t="s">
        <v>73</v>
      </c>
      <c r="J39" s="17" t="s">
        <v>74</v>
      </c>
      <c r="K39" s="17" t="s">
        <v>207</v>
      </c>
    </row>
    <row r="40" customFormat="false" ht="38" hidden="false" customHeight="true" outlineLevel="0" collapsed="false">
      <c r="A40" s="17" t="s">
        <v>216</v>
      </c>
      <c r="B40" s="17" t="s">
        <v>209</v>
      </c>
      <c r="C40" s="17" t="s">
        <v>68</v>
      </c>
      <c r="D40" s="17" t="s">
        <v>43</v>
      </c>
      <c r="E40" s="17" t="s">
        <v>217</v>
      </c>
      <c r="F40" s="17" t="s">
        <v>74</v>
      </c>
      <c r="G40" s="17" t="s">
        <v>74</v>
      </c>
      <c r="H40" s="17" t="s">
        <v>72</v>
      </c>
      <c r="I40" s="17" t="s">
        <v>73</v>
      </c>
      <c r="J40" s="17" t="s">
        <v>74</v>
      </c>
      <c r="K40" s="17" t="s">
        <v>211</v>
      </c>
    </row>
    <row r="41" customFormat="false" ht="38" hidden="false" customHeight="true" outlineLevel="0" collapsed="false">
      <c r="A41" s="17" t="s">
        <v>218</v>
      </c>
      <c r="B41" s="17" t="s">
        <v>197</v>
      </c>
      <c r="C41" s="17" t="s">
        <v>68</v>
      </c>
      <c r="D41" s="17" t="s">
        <v>43</v>
      </c>
      <c r="E41" s="17" t="s">
        <v>219</v>
      </c>
      <c r="F41" s="17" t="s">
        <v>199</v>
      </c>
      <c r="G41" s="17" t="s">
        <v>200</v>
      </c>
      <c r="H41" s="17" t="s">
        <v>72</v>
      </c>
      <c r="I41" s="17" t="s">
        <v>73</v>
      </c>
      <c r="J41" s="17" t="s">
        <v>74</v>
      </c>
      <c r="K41" s="17" t="s">
        <v>201</v>
      </c>
    </row>
    <row r="42" customFormat="false" ht="38" hidden="false" customHeight="true" outlineLevel="0" collapsed="false">
      <c r="A42" s="17" t="s">
        <v>220</v>
      </c>
      <c r="B42" s="17" t="s">
        <v>203</v>
      </c>
      <c r="C42" s="17" t="s">
        <v>68</v>
      </c>
      <c r="D42" s="17" t="s">
        <v>43</v>
      </c>
      <c r="E42" s="17" t="s">
        <v>221</v>
      </c>
      <c r="F42" s="17" t="s">
        <v>205</v>
      </c>
      <c r="G42" s="17" t="s">
        <v>222</v>
      </c>
      <c r="H42" s="17" t="s">
        <v>72</v>
      </c>
      <c r="I42" s="17" t="s">
        <v>73</v>
      </c>
      <c r="J42" s="17" t="s">
        <v>74</v>
      </c>
      <c r="K42" s="17" t="s">
        <v>207</v>
      </c>
    </row>
    <row r="43" customFormat="false" ht="38" hidden="false" customHeight="true" outlineLevel="0" collapsed="false">
      <c r="A43" s="17" t="s">
        <v>223</v>
      </c>
      <c r="B43" s="17" t="s">
        <v>209</v>
      </c>
      <c r="C43" s="17" t="s">
        <v>68</v>
      </c>
      <c r="D43" s="17" t="s">
        <v>43</v>
      </c>
      <c r="E43" s="17" t="s">
        <v>224</v>
      </c>
      <c r="F43" s="17" t="s">
        <v>74</v>
      </c>
      <c r="G43" s="17" t="s">
        <v>74</v>
      </c>
      <c r="H43" s="17" t="s">
        <v>72</v>
      </c>
      <c r="I43" s="17" t="s">
        <v>73</v>
      </c>
      <c r="J43" s="17" t="s">
        <v>74</v>
      </c>
      <c r="K43" s="17" t="s">
        <v>211</v>
      </c>
    </row>
    <row r="44" customFormat="false" ht="38" hidden="false" customHeight="true" outlineLevel="0" collapsed="false">
      <c r="A44" s="17" t="s">
        <v>225</v>
      </c>
      <c r="B44" s="17" t="s">
        <v>197</v>
      </c>
      <c r="C44" s="17" t="s">
        <v>68</v>
      </c>
      <c r="D44" s="17" t="s">
        <v>43</v>
      </c>
      <c r="E44" s="17" t="s">
        <v>226</v>
      </c>
      <c r="F44" s="17" t="s">
        <v>199</v>
      </c>
      <c r="G44" s="17" t="s">
        <v>200</v>
      </c>
      <c r="H44" s="17" t="s">
        <v>72</v>
      </c>
      <c r="I44" s="17" t="s">
        <v>73</v>
      </c>
      <c r="J44" s="17" t="s">
        <v>74</v>
      </c>
      <c r="K44" s="17" t="s">
        <v>201</v>
      </c>
    </row>
    <row r="45" customFormat="false" ht="38" hidden="false" customHeight="true" outlineLevel="0" collapsed="false">
      <c r="A45" s="17" t="s">
        <v>227</v>
      </c>
      <c r="B45" s="17" t="s">
        <v>203</v>
      </c>
      <c r="C45" s="17" t="s">
        <v>68</v>
      </c>
      <c r="D45" s="17" t="s">
        <v>43</v>
      </c>
      <c r="E45" s="17" t="s">
        <v>228</v>
      </c>
      <c r="F45" s="17" t="s">
        <v>205</v>
      </c>
      <c r="G45" s="17" t="s">
        <v>229</v>
      </c>
      <c r="H45" s="17" t="s">
        <v>72</v>
      </c>
      <c r="I45" s="17" t="s">
        <v>73</v>
      </c>
      <c r="J45" s="17" t="s">
        <v>74</v>
      </c>
      <c r="K45" s="17" t="s">
        <v>207</v>
      </c>
    </row>
    <row r="46" customFormat="false" ht="38" hidden="false" customHeight="true" outlineLevel="0" collapsed="false">
      <c r="A46" s="17" t="s">
        <v>230</v>
      </c>
      <c r="B46" s="17" t="s">
        <v>209</v>
      </c>
      <c r="C46" s="17" t="s">
        <v>68</v>
      </c>
      <c r="D46" s="17" t="s">
        <v>43</v>
      </c>
      <c r="E46" s="17" t="s">
        <v>231</v>
      </c>
      <c r="F46" s="17" t="s">
        <v>74</v>
      </c>
      <c r="G46" s="17" t="s">
        <v>74</v>
      </c>
      <c r="H46" s="17" t="s">
        <v>72</v>
      </c>
      <c r="I46" s="17" t="s">
        <v>73</v>
      </c>
      <c r="J46" s="17" t="s">
        <v>74</v>
      </c>
      <c r="K46" s="17" t="s">
        <v>211</v>
      </c>
    </row>
    <row r="47" customFormat="false" ht="38" hidden="false" customHeight="true" outlineLevel="0" collapsed="false">
      <c r="A47" s="17" t="s">
        <v>232</v>
      </c>
      <c r="B47" s="17" t="s">
        <v>197</v>
      </c>
      <c r="C47" s="17" t="s">
        <v>68</v>
      </c>
      <c r="D47" s="17" t="s">
        <v>43</v>
      </c>
      <c r="E47" s="17" t="s">
        <v>233</v>
      </c>
      <c r="F47" s="17" t="s">
        <v>199</v>
      </c>
      <c r="G47" s="17" t="s">
        <v>200</v>
      </c>
      <c r="H47" s="17" t="s">
        <v>72</v>
      </c>
      <c r="I47" s="17" t="s">
        <v>73</v>
      </c>
      <c r="J47" s="17" t="s">
        <v>74</v>
      </c>
      <c r="K47" s="17" t="s">
        <v>201</v>
      </c>
    </row>
    <row r="48" customFormat="false" ht="38" hidden="false" customHeight="true" outlineLevel="0" collapsed="false">
      <c r="A48" s="17" t="s">
        <v>234</v>
      </c>
      <c r="B48" s="17" t="s">
        <v>203</v>
      </c>
      <c r="C48" s="17" t="s">
        <v>68</v>
      </c>
      <c r="D48" s="17" t="s">
        <v>43</v>
      </c>
      <c r="E48" s="17" t="s">
        <v>235</v>
      </c>
      <c r="F48" s="17" t="s">
        <v>205</v>
      </c>
      <c r="G48" s="17" t="s">
        <v>205</v>
      </c>
      <c r="H48" s="17" t="s">
        <v>72</v>
      </c>
      <c r="I48" s="17" t="s">
        <v>73</v>
      </c>
      <c r="J48" s="17" t="s">
        <v>74</v>
      </c>
      <c r="K48" s="17" t="s">
        <v>207</v>
      </c>
    </row>
    <row r="49" customFormat="false" ht="38" hidden="false" customHeight="true" outlineLevel="0" collapsed="false">
      <c r="A49" s="17" t="s">
        <v>236</v>
      </c>
      <c r="B49" s="17" t="s">
        <v>209</v>
      </c>
      <c r="C49" s="17" t="s">
        <v>68</v>
      </c>
      <c r="D49" s="17" t="s">
        <v>43</v>
      </c>
      <c r="E49" s="17" t="s">
        <v>237</v>
      </c>
      <c r="F49" s="17" t="s">
        <v>74</v>
      </c>
      <c r="G49" s="17" t="s">
        <v>74</v>
      </c>
      <c r="H49" s="17" t="s">
        <v>72</v>
      </c>
      <c r="I49" s="17" t="s">
        <v>73</v>
      </c>
      <c r="J49" s="17" t="s">
        <v>74</v>
      </c>
      <c r="K49" s="17" t="s">
        <v>211</v>
      </c>
    </row>
    <row r="50" customFormat="false" ht="38" hidden="false" customHeight="true" outlineLevel="0" collapsed="false">
      <c r="A50" s="17" t="s">
        <v>238</v>
      </c>
      <c r="B50" s="17" t="s">
        <v>197</v>
      </c>
      <c r="C50" s="17" t="s">
        <v>68</v>
      </c>
      <c r="D50" s="17" t="s">
        <v>43</v>
      </c>
      <c r="E50" s="17" t="s">
        <v>239</v>
      </c>
      <c r="F50" s="17" t="s">
        <v>199</v>
      </c>
      <c r="G50" s="17" t="s">
        <v>200</v>
      </c>
      <c r="H50" s="17" t="s">
        <v>72</v>
      </c>
      <c r="I50" s="17" t="s">
        <v>73</v>
      </c>
      <c r="J50" s="17" t="s">
        <v>74</v>
      </c>
      <c r="K50" s="17" t="s">
        <v>201</v>
      </c>
    </row>
    <row r="51" customFormat="false" ht="38" hidden="false" customHeight="true" outlineLevel="0" collapsed="false">
      <c r="A51" s="17" t="s">
        <v>240</v>
      </c>
      <c r="B51" s="17" t="s">
        <v>203</v>
      </c>
      <c r="C51" s="17" t="s">
        <v>68</v>
      </c>
      <c r="D51" s="17" t="s">
        <v>43</v>
      </c>
      <c r="E51" s="17" t="s">
        <v>241</v>
      </c>
      <c r="F51" s="17" t="s">
        <v>205</v>
      </c>
      <c r="G51" s="17" t="s">
        <v>206</v>
      </c>
      <c r="H51" s="17" t="s">
        <v>72</v>
      </c>
      <c r="I51" s="17" t="s">
        <v>73</v>
      </c>
      <c r="J51" s="17" t="s">
        <v>74</v>
      </c>
      <c r="K51" s="17" t="s">
        <v>207</v>
      </c>
    </row>
    <row r="52" customFormat="false" ht="38" hidden="false" customHeight="true" outlineLevel="0" collapsed="false">
      <c r="A52" s="17" t="s">
        <v>242</v>
      </c>
      <c r="B52" s="17" t="s">
        <v>209</v>
      </c>
      <c r="C52" s="17" t="s">
        <v>68</v>
      </c>
      <c r="D52" s="17" t="s">
        <v>43</v>
      </c>
      <c r="E52" s="17" t="s">
        <v>243</v>
      </c>
      <c r="F52" s="17" t="s">
        <v>74</v>
      </c>
      <c r="G52" s="17" t="s">
        <v>74</v>
      </c>
      <c r="H52" s="17" t="s">
        <v>72</v>
      </c>
      <c r="I52" s="17" t="s">
        <v>73</v>
      </c>
      <c r="J52" s="17" t="s">
        <v>74</v>
      </c>
      <c r="K52" s="17" t="s">
        <v>211</v>
      </c>
    </row>
    <row r="53" customFormat="false" ht="38" hidden="false" customHeight="true" outlineLevel="0" collapsed="false">
      <c r="A53" s="17" t="s">
        <v>244</v>
      </c>
      <c r="B53" s="17" t="s">
        <v>245</v>
      </c>
      <c r="C53" s="17" t="s">
        <v>68</v>
      </c>
      <c r="D53" s="17" t="s">
        <v>43</v>
      </c>
      <c r="E53" s="17" t="s">
        <v>246</v>
      </c>
      <c r="F53" s="17" t="s">
        <v>247</v>
      </c>
      <c r="G53" s="17" t="s">
        <v>248</v>
      </c>
      <c r="H53" s="17" t="s">
        <v>72</v>
      </c>
      <c r="I53" s="17" t="s">
        <v>73</v>
      </c>
      <c r="J53" s="17" t="s">
        <v>74</v>
      </c>
      <c r="K53" s="17" t="s">
        <v>211</v>
      </c>
    </row>
    <row r="54" customFormat="false" ht="38" hidden="false" customHeight="true" outlineLevel="0" collapsed="false">
      <c r="A54" s="17" t="s">
        <v>249</v>
      </c>
      <c r="B54" s="17" t="s">
        <v>250</v>
      </c>
      <c r="C54" s="17" t="s">
        <v>68</v>
      </c>
      <c r="D54" s="17" t="s">
        <v>43</v>
      </c>
      <c r="E54" s="17" t="s">
        <v>251</v>
      </c>
      <c r="F54" s="17" t="s">
        <v>252</v>
      </c>
      <c r="G54" s="17" t="s">
        <v>253</v>
      </c>
      <c r="H54" s="17" t="s">
        <v>72</v>
      </c>
      <c r="I54" s="17" t="s">
        <v>73</v>
      </c>
      <c r="J54" s="17" t="s">
        <v>74</v>
      </c>
      <c r="K54" s="17" t="s">
        <v>254</v>
      </c>
    </row>
    <row r="55" customFormat="false" ht="38" hidden="false" customHeight="true" outlineLevel="0" collapsed="false">
      <c r="A55" s="17" t="s">
        <v>255</v>
      </c>
      <c r="B55" s="17" t="s">
        <v>256</v>
      </c>
      <c r="C55" s="17" t="s">
        <v>68</v>
      </c>
      <c r="D55" s="17" t="s">
        <v>51</v>
      </c>
      <c r="E55" s="17" t="s">
        <v>257</v>
      </c>
      <c r="F55" s="17" t="s">
        <v>258</v>
      </c>
      <c r="G55" s="17" t="s">
        <v>71</v>
      </c>
      <c r="H55" s="17" t="s">
        <v>72</v>
      </c>
      <c r="I55" s="17" t="s">
        <v>73</v>
      </c>
      <c r="J55" s="17" t="s">
        <v>74</v>
      </c>
      <c r="K55" s="17" t="s">
        <v>259</v>
      </c>
    </row>
    <row r="56" customFormat="false" ht="38" hidden="false" customHeight="true" outlineLevel="0" collapsed="false">
      <c r="A56" s="17" t="s">
        <v>260</v>
      </c>
      <c r="B56" s="17" t="s">
        <v>261</v>
      </c>
      <c r="C56" s="17" t="s">
        <v>68</v>
      </c>
      <c r="D56" s="17" t="s">
        <v>52</v>
      </c>
      <c r="E56" s="17" t="s">
        <v>262</v>
      </c>
      <c r="F56" s="17" t="s">
        <v>130</v>
      </c>
      <c r="G56" s="17" t="s">
        <v>130</v>
      </c>
      <c r="H56" s="17" t="s">
        <v>72</v>
      </c>
      <c r="I56" s="17" t="s">
        <v>73</v>
      </c>
      <c r="J56" s="17" t="s">
        <v>74</v>
      </c>
      <c r="K56" s="17" t="s">
        <v>99</v>
      </c>
    </row>
    <row r="57" customFormat="false" ht="38" hidden="false" customHeight="true" outlineLevel="0" collapsed="false">
      <c r="A57" s="17" t="s">
        <v>263</v>
      </c>
      <c r="B57" s="17" t="s">
        <v>264</v>
      </c>
      <c r="C57" s="17" t="s">
        <v>68</v>
      </c>
      <c r="D57" s="17" t="s">
        <v>40</v>
      </c>
      <c r="E57" s="17" t="s">
        <v>265</v>
      </c>
      <c r="F57" s="17" t="s">
        <v>104</v>
      </c>
      <c r="G57" s="17" t="s">
        <v>104</v>
      </c>
      <c r="H57" s="17" t="s">
        <v>72</v>
      </c>
      <c r="I57" s="17" t="s">
        <v>73</v>
      </c>
      <c r="J57" s="17" t="s">
        <v>74</v>
      </c>
      <c r="K57" s="17" t="s">
        <v>99</v>
      </c>
    </row>
    <row r="58" customFormat="false" ht="38" hidden="false" customHeight="true" outlineLevel="0" collapsed="false">
      <c r="A58" s="17" t="s">
        <v>266</v>
      </c>
      <c r="B58" s="17" t="s">
        <v>267</v>
      </c>
      <c r="C58" s="17" t="s">
        <v>68</v>
      </c>
      <c r="D58" s="17" t="s">
        <v>40</v>
      </c>
      <c r="E58" s="17" t="s">
        <v>268</v>
      </c>
      <c r="F58" s="17" t="s">
        <v>269</v>
      </c>
      <c r="G58" s="17" t="s">
        <v>269</v>
      </c>
      <c r="H58" s="17" t="s">
        <v>72</v>
      </c>
      <c r="I58" s="17" t="s">
        <v>105</v>
      </c>
      <c r="J58" s="17" t="s">
        <v>74</v>
      </c>
      <c r="K58" s="17" t="s">
        <v>270</v>
      </c>
    </row>
    <row r="59" customFormat="false" ht="38" hidden="false" customHeight="true" outlineLevel="0" collapsed="false">
      <c r="A59" s="17" t="s">
        <v>271</v>
      </c>
      <c r="B59" s="17" t="s">
        <v>272</v>
      </c>
      <c r="C59" s="17" t="s">
        <v>68</v>
      </c>
      <c r="D59" s="17" t="s">
        <v>40</v>
      </c>
      <c r="E59" s="17" t="s">
        <v>273</v>
      </c>
      <c r="F59" s="17" t="s">
        <v>274</v>
      </c>
      <c r="G59" s="17" t="s">
        <v>274</v>
      </c>
      <c r="H59" s="17" t="s">
        <v>72</v>
      </c>
      <c r="I59" s="17" t="s">
        <v>105</v>
      </c>
      <c r="J59" s="17" t="s">
        <v>74</v>
      </c>
      <c r="K59" s="17" t="s">
        <v>270</v>
      </c>
    </row>
    <row r="60" customFormat="false" ht="38" hidden="false" customHeight="true" outlineLevel="0" collapsed="false">
      <c r="A60" s="17" t="s">
        <v>275</v>
      </c>
      <c r="B60" s="17" t="s">
        <v>276</v>
      </c>
      <c r="C60" s="17" t="s">
        <v>68</v>
      </c>
      <c r="D60" s="17" t="s">
        <v>40</v>
      </c>
      <c r="E60" s="17" t="s">
        <v>277</v>
      </c>
      <c r="F60" s="17" t="s">
        <v>278</v>
      </c>
      <c r="G60" s="17" t="s">
        <v>278</v>
      </c>
      <c r="H60" s="17" t="s">
        <v>72</v>
      </c>
      <c r="I60" s="17" t="s">
        <v>73</v>
      </c>
      <c r="J60" s="17" t="s">
        <v>74</v>
      </c>
      <c r="K60" s="17" t="s">
        <v>279</v>
      </c>
    </row>
    <row r="61" customFormat="false" ht="38" hidden="false" customHeight="true" outlineLevel="0" collapsed="false">
      <c r="A61" s="17" t="s">
        <v>280</v>
      </c>
      <c r="B61" s="17" t="s">
        <v>281</v>
      </c>
      <c r="C61" s="17" t="s">
        <v>68</v>
      </c>
      <c r="D61" s="17" t="s">
        <v>40</v>
      </c>
      <c r="E61" s="17" t="s">
        <v>282</v>
      </c>
      <c r="F61" s="17" t="s">
        <v>175</v>
      </c>
      <c r="G61" s="17" t="s">
        <v>175</v>
      </c>
      <c r="H61" s="17" t="s">
        <v>72</v>
      </c>
      <c r="I61" s="17" t="s">
        <v>73</v>
      </c>
      <c r="J61" s="17" t="s">
        <v>74</v>
      </c>
      <c r="K61" s="17" t="s">
        <v>279</v>
      </c>
    </row>
    <row r="62" customFormat="false" ht="38" hidden="false" customHeight="true" outlineLevel="0" collapsed="false">
      <c r="A62" s="17" t="s">
        <v>283</v>
      </c>
      <c r="B62" s="17" t="s">
        <v>284</v>
      </c>
      <c r="C62" s="17" t="s">
        <v>68</v>
      </c>
      <c r="D62" s="17" t="s">
        <v>40</v>
      </c>
      <c r="E62" s="17" t="s">
        <v>285</v>
      </c>
      <c r="F62" s="17" t="s">
        <v>286</v>
      </c>
      <c r="G62" s="17" t="s">
        <v>286</v>
      </c>
      <c r="H62" s="17" t="s">
        <v>72</v>
      </c>
      <c r="I62" s="17" t="s">
        <v>73</v>
      </c>
      <c r="J62" s="17" t="s">
        <v>74</v>
      </c>
      <c r="K62" s="17" t="s">
        <v>287</v>
      </c>
    </row>
    <row r="63" customFormat="false" ht="38" hidden="false" customHeight="true" outlineLevel="0" collapsed="false">
      <c r="A63" s="17" t="s">
        <v>288</v>
      </c>
      <c r="B63" s="17" t="s">
        <v>289</v>
      </c>
      <c r="C63" s="17" t="s">
        <v>68</v>
      </c>
      <c r="D63" s="17" t="s">
        <v>40</v>
      </c>
      <c r="E63" s="17" t="s">
        <v>290</v>
      </c>
      <c r="F63" s="17" t="s">
        <v>104</v>
      </c>
      <c r="G63" s="17" t="s">
        <v>104</v>
      </c>
      <c r="H63" s="17" t="s">
        <v>72</v>
      </c>
      <c r="I63" s="17" t="s">
        <v>73</v>
      </c>
      <c r="J63" s="17" t="s">
        <v>74</v>
      </c>
      <c r="K63" s="17" t="s">
        <v>291</v>
      </c>
    </row>
    <row r="64" customFormat="false" ht="38" hidden="false" customHeight="true" outlineLevel="0" collapsed="false">
      <c r="A64" s="17" t="s">
        <v>292</v>
      </c>
      <c r="B64" s="17" t="s">
        <v>293</v>
      </c>
      <c r="C64" s="17" t="s">
        <v>68</v>
      </c>
      <c r="D64" s="17" t="s">
        <v>40</v>
      </c>
      <c r="E64" s="17" t="s">
        <v>294</v>
      </c>
      <c r="F64" s="17" t="s">
        <v>104</v>
      </c>
      <c r="G64" s="17" t="s">
        <v>104</v>
      </c>
      <c r="H64" s="17" t="s">
        <v>72</v>
      </c>
      <c r="I64" s="17" t="s">
        <v>105</v>
      </c>
      <c r="J64" s="17" t="s">
        <v>74</v>
      </c>
      <c r="K64" s="17" t="s">
        <v>295</v>
      </c>
    </row>
    <row r="65" customFormat="false" ht="38" hidden="false" customHeight="true" outlineLevel="0" collapsed="false">
      <c r="A65" s="17" t="s">
        <v>296</v>
      </c>
      <c r="B65" s="17" t="s">
        <v>297</v>
      </c>
      <c r="C65" s="17" t="s">
        <v>68</v>
      </c>
      <c r="D65" s="17" t="s">
        <v>40</v>
      </c>
      <c r="E65" s="17" t="s">
        <v>298</v>
      </c>
      <c r="F65" s="17" t="s">
        <v>164</v>
      </c>
      <c r="G65" s="17" t="s">
        <v>164</v>
      </c>
      <c r="H65" s="17" t="s">
        <v>72</v>
      </c>
      <c r="I65" s="17" t="s">
        <v>73</v>
      </c>
      <c r="J65" s="17" t="s">
        <v>74</v>
      </c>
      <c r="K65" s="17" t="s">
        <v>299</v>
      </c>
    </row>
    <row r="66" customFormat="false" ht="38" hidden="false" customHeight="true" outlineLevel="0" collapsed="false">
      <c r="A66" s="17" t="s">
        <v>300</v>
      </c>
      <c r="B66" s="17" t="s">
        <v>301</v>
      </c>
      <c r="C66" s="17" t="s">
        <v>68</v>
      </c>
      <c r="D66" s="17" t="s">
        <v>40</v>
      </c>
      <c r="E66" s="17" t="s">
        <v>302</v>
      </c>
      <c r="F66" s="17" t="s">
        <v>278</v>
      </c>
      <c r="G66" s="17" t="s">
        <v>278</v>
      </c>
      <c r="H66" s="17" t="s">
        <v>72</v>
      </c>
      <c r="I66" s="17" t="s">
        <v>105</v>
      </c>
      <c r="J66" s="17" t="s">
        <v>74</v>
      </c>
      <c r="K66" s="17" t="s">
        <v>303</v>
      </c>
    </row>
    <row r="67" customFormat="false" ht="38" hidden="false" customHeight="true" outlineLevel="0" collapsed="false">
      <c r="A67" s="17" t="s">
        <v>304</v>
      </c>
      <c r="B67" s="17" t="s">
        <v>305</v>
      </c>
      <c r="C67" s="17" t="s">
        <v>68</v>
      </c>
      <c r="D67" s="17" t="s">
        <v>40</v>
      </c>
      <c r="E67" s="17" t="s">
        <v>306</v>
      </c>
      <c r="F67" s="17" t="s">
        <v>286</v>
      </c>
      <c r="G67" s="17" t="s">
        <v>286</v>
      </c>
      <c r="H67" s="17" t="s">
        <v>72</v>
      </c>
      <c r="I67" s="17" t="s">
        <v>73</v>
      </c>
      <c r="J67" s="17" t="s">
        <v>74</v>
      </c>
      <c r="K67" s="17" t="s">
        <v>307</v>
      </c>
    </row>
    <row r="68" customFormat="false" ht="38" hidden="false" customHeight="true" outlineLevel="0" collapsed="false">
      <c r="A68" s="17" t="s">
        <v>308</v>
      </c>
      <c r="B68" s="17" t="s">
        <v>309</v>
      </c>
      <c r="C68" s="17" t="s">
        <v>68</v>
      </c>
      <c r="D68" s="17" t="s">
        <v>40</v>
      </c>
      <c r="E68" s="17" t="s">
        <v>310</v>
      </c>
      <c r="F68" s="17" t="s">
        <v>311</v>
      </c>
      <c r="G68" s="17" t="s">
        <v>311</v>
      </c>
      <c r="H68" s="17" t="s">
        <v>72</v>
      </c>
      <c r="I68" s="17" t="s">
        <v>105</v>
      </c>
      <c r="J68" s="17" t="s">
        <v>74</v>
      </c>
      <c r="K68" s="17" t="s">
        <v>312</v>
      </c>
    </row>
    <row r="69" customFormat="false" ht="38" hidden="false" customHeight="true" outlineLevel="0" collapsed="false">
      <c r="A69" s="17" t="s">
        <v>313</v>
      </c>
      <c r="B69" s="17" t="s">
        <v>314</v>
      </c>
      <c r="C69" s="17" t="s">
        <v>68</v>
      </c>
      <c r="D69" s="17" t="s">
        <v>41</v>
      </c>
      <c r="E69" s="17" t="s">
        <v>315</v>
      </c>
      <c r="F69" s="17" t="s">
        <v>316</v>
      </c>
      <c r="G69" s="17" t="s">
        <v>316</v>
      </c>
      <c r="H69" s="17" t="s">
        <v>72</v>
      </c>
      <c r="I69" s="17" t="s">
        <v>73</v>
      </c>
      <c r="J69" s="17" t="s">
        <v>74</v>
      </c>
      <c r="K69" s="17" t="s">
        <v>317</v>
      </c>
    </row>
    <row r="70" customFormat="false" ht="38" hidden="false" customHeight="true" outlineLevel="0" collapsed="false">
      <c r="A70" s="17" t="s">
        <v>318</v>
      </c>
      <c r="B70" s="17" t="s">
        <v>319</v>
      </c>
      <c r="C70" s="17" t="s">
        <v>68</v>
      </c>
      <c r="D70" s="17" t="s">
        <v>41</v>
      </c>
      <c r="E70" s="17" t="s">
        <v>320</v>
      </c>
      <c r="F70" s="17" t="s">
        <v>321</v>
      </c>
      <c r="G70" s="17" t="s">
        <v>321</v>
      </c>
      <c r="H70" s="17" t="s">
        <v>72</v>
      </c>
      <c r="I70" s="17" t="s">
        <v>105</v>
      </c>
      <c r="J70" s="17" t="s">
        <v>74</v>
      </c>
      <c r="K70" s="17" t="s">
        <v>317</v>
      </c>
    </row>
    <row r="71" customFormat="false" ht="38" hidden="false" customHeight="true" outlineLevel="0" collapsed="false">
      <c r="A71" s="17" t="s">
        <v>322</v>
      </c>
      <c r="B71" s="17" t="s">
        <v>323</v>
      </c>
      <c r="C71" s="17" t="s">
        <v>68</v>
      </c>
      <c r="D71" s="17" t="s">
        <v>41</v>
      </c>
      <c r="E71" s="17" t="s">
        <v>324</v>
      </c>
      <c r="F71" s="17" t="s">
        <v>325</v>
      </c>
      <c r="G71" s="17" t="s">
        <v>325</v>
      </c>
      <c r="H71" s="17" t="s">
        <v>72</v>
      </c>
      <c r="I71" s="17" t="s">
        <v>105</v>
      </c>
      <c r="J71" s="17" t="s">
        <v>74</v>
      </c>
      <c r="K71" s="17" t="s">
        <v>317</v>
      </c>
    </row>
    <row r="72" customFormat="false" ht="38" hidden="false" customHeight="true" outlineLevel="0" collapsed="false">
      <c r="A72" s="17" t="s">
        <v>326</v>
      </c>
      <c r="B72" s="17" t="s">
        <v>327</v>
      </c>
      <c r="C72" s="17" t="s">
        <v>68</v>
      </c>
      <c r="D72" s="17" t="s">
        <v>41</v>
      </c>
      <c r="E72" s="17" t="s">
        <v>328</v>
      </c>
      <c r="F72" s="17" t="s">
        <v>329</v>
      </c>
      <c r="G72" s="17" t="s">
        <v>330</v>
      </c>
      <c r="H72" s="17" t="s">
        <v>72</v>
      </c>
      <c r="I72" s="17" t="s">
        <v>105</v>
      </c>
      <c r="J72" s="17" t="s">
        <v>74</v>
      </c>
      <c r="K72" s="17" t="s">
        <v>331</v>
      </c>
    </row>
    <row r="73" customFormat="false" ht="38" hidden="false" customHeight="true" outlineLevel="0" collapsed="false">
      <c r="A73" s="17" t="s">
        <v>332</v>
      </c>
      <c r="B73" s="17" t="s">
        <v>333</v>
      </c>
      <c r="C73" s="17" t="s">
        <v>68</v>
      </c>
      <c r="D73" s="17" t="s">
        <v>41</v>
      </c>
      <c r="E73" s="17" t="s">
        <v>334</v>
      </c>
      <c r="F73" s="17" t="s">
        <v>335</v>
      </c>
      <c r="G73" s="17" t="s">
        <v>336</v>
      </c>
      <c r="H73" s="17" t="s">
        <v>72</v>
      </c>
      <c r="I73" s="17" t="s">
        <v>105</v>
      </c>
      <c r="J73" s="17" t="s">
        <v>74</v>
      </c>
      <c r="K73" s="17" t="s">
        <v>337</v>
      </c>
    </row>
    <row r="74" customFormat="false" ht="38" hidden="false" customHeight="true" outlineLevel="0" collapsed="false">
      <c r="A74" s="17" t="s">
        <v>338</v>
      </c>
      <c r="B74" s="17" t="s">
        <v>339</v>
      </c>
      <c r="C74" s="17" t="s">
        <v>68</v>
      </c>
      <c r="D74" s="17" t="s">
        <v>41</v>
      </c>
      <c r="E74" s="17" t="s">
        <v>340</v>
      </c>
      <c r="F74" s="17" t="s">
        <v>341</v>
      </c>
      <c r="G74" s="17" t="s">
        <v>317</v>
      </c>
      <c r="H74" s="17" t="s">
        <v>72</v>
      </c>
      <c r="I74" s="17" t="s">
        <v>105</v>
      </c>
      <c r="J74" s="17" t="s">
        <v>74</v>
      </c>
      <c r="K74" s="17" t="s">
        <v>342</v>
      </c>
    </row>
    <row r="75" customFormat="false" ht="38" hidden="false" customHeight="true" outlineLevel="0" collapsed="false">
      <c r="A75" s="17" t="s">
        <v>343</v>
      </c>
      <c r="B75" s="17" t="s">
        <v>344</v>
      </c>
      <c r="C75" s="17" t="s">
        <v>68</v>
      </c>
      <c r="D75" s="17" t="s">
        <v>41</v>
      </c>
      <c r="E75" s="17" t="s">
        <v>345</v>
      </c>
      <c r="F75" s="17" t="s">
        <v>346</v>
      </c>
      <c r="G75" s="17" t="s">
        <v>164</v>
      </c>
      <c r="H75" s="17" t="s">
        <v>72</v>
      </c>
      <c r="I75" s="17" t="s">
        <v>105</v>
      </c>
      <c r="J75" s="17" t="s">
        <v>74</v>
      </c>
      <c r="K75" s="17" t="s">
        <v>347</v>
      </c>
    </row>
    <row r="76" customFormat="false" ht="38" hidden="false" customHeight="true" outlineLevel="0" collapsed="false">
      <c r="A76" s="17" t="s">
        <v>348</v>
      </c>
      <c r="B76" s="17" t="s">
        <v>349</v>
      </c>
      <c r="C76" s="17" t="s">
        <v>68</v>
      </c>
      <c r="D76" s="17" t="s">
        <v>39</v>
      </c>
      <c r="E76" s="17" t="s">
        <v>350</v>
      </c>
      <c r="F76" s="17" t="s">
        <v>351</v>
      </c>
      <c r="G76" s="17" t="s">
        <v>352</v>
      </c>
      <c r="H76" s="17" t="s">
        <v>72</v>
      </c>
      <c r="I76" s="17" t="s">
        <v>73</v>
      </c>
      <c r="J76" s="17" t="s">
        <v>74</v>
      </c>
      <c r="K76" s="17" t="s">
        <v>95</v>
      </c>
    </row>
    <row r="77" customFormat="false" ht="38" hidden="false" customHeight="true" outlineLevel="0" collapsed="false">
      <c r="A77" s="17" t="s">
        <v>353</v>
      </c>
      <c r="B77" s="17" t="s">
        <v>349</v>
      </c>
      <c r="C77" s="17" t="s">
        <v>68</v>
      </c>
      <c r="D77" s="17" t="s">
        <v>39</v>
      </c>
      <c r="E77" s="17" t="s">
        <v>354</v>
      </c>
      <c r="F77" s="17" t="s">
        <v>351</v>
      </c>
      <c r="G77" s="17" t="s">
        <v>355</v>
      </c>
      <c r="H77" s="17" t="s">
        <v>72</v>
      </c>
      <c r="I77" s="17" t="s">
        <v>73</v>
      </c>
      <c r="J77" s="17" t="s">
        <v>74</v>
      </c>
      <c r="K77" s="17" t="s">
        <v>95</v>
      </c>
    </row>
    <row r="78" customFormat="false" ht="38" hidden="false" customHeight="true" outlineLevel="0" collapsed="false">
      <c r="A78" s="17" t="s">
        <v>356</v>
      </c>
      <c r="B78" s="17" t="s">
        <v>349</v>
      </c>
      <c r="C78" s="17" t="s">
        <v>68</v>
      </c>
      <c r="D78" s="17" t="s">
        <v>39</v>
      </c>
      <c r="E78" s="17" t="s">
        <v>357</v>
      </c>
      <c r="F78" s="17" t="s">
        <v>351</v>
      </c>
      <c r="G78" s="17" t="s">
        <v>358</v>
      </c>
      <c r="H78" s="17" t="s">
        <v>72</v>
      </c>
      <c r="I78" s="17" t="s">
        <v>73</v>
      </c>
      <c r="J78" s="17" t="s">
        <v>74</v>
      </c>
      <c r="K78" s="17" t="s">
        <v>95</v>
      </c>
    </row>
    <row r="79" customFormat="false" ht="38" hidden="false" customHeight="true" outlineLevel="0" collapsed="false">
      <c r="A79" s="17" t="s">
        <v>359</v>
      </c>
      <c r="B79" s="17" t="s">
        <v>349</v>
      </c>
      <c r="C79" s="17" t="s">
        <v>68</v>
      </c>
      <c r="D79" s="17" t="s">
        <v>39</v>
      </c>
      <c r="E79" s="17" t="s">
        <v>360</v>
      </c>
      <c r="F79" s="17" t="s">
        <v>351</v>
      </c>
      <c r="G79" s="17" t="s">
        <v>361</v>
      </c>
      <c r="H79" s="17" t="s">
        <v>72</v>
      </c>
      <c r="I79" s="17" t="s">
        <v>73</v>
      </c>
      <c r="J79" s="17" t="s">
        <v>74</v>
      </c>
      <c r="K79" s="17" t="s">
        <v>95</v>
      </c>
    </row>
    <row r="80" customFormat="false" ht="38" hidden="false" customHeight="true" outlineLevel="0" collapsed="false">
      <c r="A80" s="17" t="s">
        <v>362</v>
      </c>
      <c r="B80" s="17" t="s">
        <v>349</v>
      </c>
      <c r="C80" s="17" t="s">
        <v>68</v>
      </c>
      <c r="D80" s="17" t="s">
        <v>39</v>
      </c>
      <c r="E80" s="17" t="s">
        <v>363</v>
      </c>
      <c r="F80" s="17" t="s">
        <v>351</v>
      </c>
      <c r="G80" s="17" t="s">
        <v>364</v>
      </c>
      <c r="H80" s="17" t="s">
        <v>72</v>
      </c>
      <c r="I80" s="17" t="s">
        <v>73</v>
      </c>
      <c r="J80" s="17" t="s">
        <v>74</v>
      </c>
      <c r="K80" s="17" t="s">
        <v>95</v>
      </c>
    </row>
    <row r="81" customFormat="false" ht="38" hidden="false" customHeight="true" outlineLevel="0" collapsed="false">
      <c r="A81" s="17" t="s">
        <v>365</v>
      </c>
      <c r="B81" s="17" t="s">
        <v>349</v>
      </c>
      <c r="C81" s="17" t="s">
        <v>68</v>
      </c>
      <c r="D81" s="17" t="s">
        <v>39</v>
      </c>
      <c r="E81" s="17" t="s">
        <v>366</v>
      </c>
      <c r="F81" s="17" t="s">
        <v>351</v>
      </c>
      <c r="G81" s="17" t="s">
        <v>367</v>
      </c>
      <c r="H81" s="17" t="s">
        <v>72</v>
      </c>
      <c r="I81" s="17" t="s">
        <v>73</v>
      </c>
      <c r="J81" s="17" t="s">
        <v>74</v>
      </c>
      <c r="K81" s="17" t="s">
        <v>95</v>
      </c>
    </row>
    <row r="82" customFormat="false" ht="38" hidden="false" customHeight="true" outlineLevel="0" collapsed="false">
      <c r="A82" s="17" t="s">
        <v>368</v>
      </c>
      <c r="B82" s="17" t="s">
        <v>349</v>
      </c>
      <c r="C82" s="17" t="s">
        <v>68</v>
      </c>
      <c r="D82" s="17" t="s">
        <v>39</v>
      </c>
      <c r="E82" s="17" t="s">
        <v>369</v>
      </c>
      <c r="F82" s="17" t="s">
        <v>351</v>
      </c>
      <c r="G82" s="17" t="s">
        <v>370</v>
      </c>
      <c r="H82" s="17" t="s">
        <v>72</v>
      </c>
      <c r="I82" s="17" t="s">
        <v>73</v>
      </c>
      <c r="J82" s="17" t="s">
        <v>74</v>
      </c>
      <c r="K82" s="17" t="s">
        <v>95</v>
      </c>
    </row>
    <row r="83" customFormat="false" ht="38" hidden="false" customHeight="true" outlineLevel="0" collapsed="false">
      <c r="A83" s="17" t="s">
        <v>371</v>
      </c>
      <c r="B83" s="17" t="s">
        <v>349</v>
      </c>
      <c r="C83" s="17" t="s">
        <v>68</v>
      </c>
      <c r="D83" s="17" t="s">
        <v>39</v>
      </c>
      <c r="E83" s="17" t="s">
        <v>372</v>
      </c>
      <c r="F83" s="17" t="s">
        <v>351</v>
      </c>
      <c r="G83" s="17" t="s">
        <v>373</v>
      </c>
      <c r="H83" s="17" t="s">
        <v>72</v>
      </c>
      <c r="I83" s="17" t="s">
        <v>73</v>
      </c>
      <c r="J83" s="17" t="s">
        <v>74</v>
      </c>
      <c r="K83" s="17" t="s">
        <v>95</v>
      </c>
    </row>
    <row r="84" customFormat="false" ht="38" hidden="false" customHeight="true" outlineLevel="0" collapsed="false">
      <c r="A84" s="17" t="s">
        <v>374</v>
      </c>
      <c r="B84" s="17" t="s">
        <v>349</v>
      </c>
      <c r="C84" s="17" t="s">
        <v>68</v>
      </c>
      <c r="D84" s="17" t="s">
        <v>39</v>
      </c>
      <c r="E84" s="17" t="s">
        <v>375</v>
      </c>
      <c r="F84" s="17" t="s">
        <v>351</v>
      </c>
      <c r="G84" s="17" t="s">
        <v>316</v>
      </c>
      <c r="H84" s="17" t="s">
        <v>72</v>
      </c>
      <c r="I84" s="17" t="s">
        <v>73</v>
      </c>
      <c r="J84" s="17" t="s">
        <v>74</v>
      </c>
      <c r="K84" s="17" t="s">
        <v>95</v>
      </c>
    </row>
    <row r="85" customFormat="false" ht="38" hidden="false" customHeight="true" outlineLevel="0" collapsed="false">
      <c r="A85" s="17" t="s">
        <v>376</v>
      </c>
      <c r="B85" s="17" t="s">
        <v>349</v>
      </c>
      <c r="C85" s="17" t="s">
        <v>68</v>
      </c>
      <c r="D85" s="17" t="s">
        <v>39</v>
      </c>
      <c r="E85" s="17" t="s">
        <v>377</v>
      </c>
      <c r="F85" s="17" t="s">
        <v>351</v>
      </c>
      <c r="G85" s="17" t="s">
        <v>378</v>
      </c>
      <c r="H85" s="17" t="s">
        <v>72</v>
      </c>
      <c r="I85" s="17" t="s">
        <v>73</v>
      </c>
      <c r="J85" s="17" t="s">
        <v>74</v>
      </c>
      <c r="K85" s="17" t="s">
        <v>95</v>
      </c>
    </row>
    <row r="86" customFormat="false" ht="38" hidden="false" customHeight="true" outlineLevel="0" collapsed="false">
      <c r="A86" s="17" t="s">
        <v>379</v>
      </c>
      <c r="B86" s="17" t="s">
        <v>349</v>
      </c>
      <c r="C86" s="17" t="s">
        <v>68</v>
      </c>
      <c r="D86" s="17" t="s">
        <v>39</v>
      </c>
      <c r="E86" s="17" t="s">
        <v>380</v>
      </c>
      <c r="F86" s="17" t="s">
        <v>351</v>
      </c>
      <c r="G86" s="17" t="s">
        <v>381</v>
      </c>
      <c r="H86" s="17" t="s">
        <v>72</v>
      </c>
      <c r="I86" s="17" t="s">
        <v>73</v>
      </c>
      <c r="J86" s="17" t="s">
        <v>74</v>
      </c>
      <c r="K86" s="17" t="s">
        <v>95</v>
      </c>
    </row>
    <row r="87" customFormat="false" ht="38" hidden="false" customHeight="true" outlineLevel="0" collapsed="false">
      <c r="A87" s="17" t="s">
        <v>382</v>
      </c>
      <c r="B87" s="17" t="s">
        <v>349</v>
      </c>
      <c r="C87" s="17" t="s">
        <v>68</v>
      </c>
      <c r="D87" s="17" t="s">
        <v>39</v>
      </c>
      <c r="E87" s="17" t="s">
        <v>383</v>
      </c>
      <c r="F87" s="17" t="s">
        <v>351</v>
      </c>
      <c r="G87" s="17" t="s">
        <v>384</v>
      </c>
      <c r="H87" s="17" t="s">
        <v>72</v>
      </c>
      <c r="I87" s="17" t="s">
        <v>73</v>
      </c>
      <c r="J87" s="17" t="s">
        <v>74</v>
      </c>
      <c r="K87" s="17" t="s">
        <v>95</v>
      </c>
    </row>
    <row r="88" customFormat="false" ht="38" hidden="false" customHeight="true" outlineLevel="0" collapsed="false">
      <c r="A88" s="17" t="s">
        <v>385</v>
      </c>
      <c r="B88" s="17" t="s">
        <v>349</v>
      </c>
      <c r="C88" s="17" t="s">
        <v>68</v>
      </c>
      <c r="D88" s="17" t="s">
        <v>39</v>
      </c>
      <c r="E88" s="17" t="s">
        <v>386</v>
      </c>
      <c r="F88" s="17" t="s">
        <v>351</v>
      </c>
      <c r="G88" s="17" t="s">
        <v>387</v>
      </c>
      <c r="H88" s="17" t="s">
        <v>72</v>
      </c>
      <c r="I88" s="17" t="s">
        <v>73</v>
      </c>
      <c r="J88" s="17" t="s">
        <v>74</v>
      </c>
      <c r="K88" s="17" t="s">
        <v>95</v>
      </c>
    </row>
    <row r="89" customFormat="false" ht="38" hidden="false" customHeight="true" outlineLevel="0" collapsed="false">
      <c r="A89" s="17" t="s">
        <v>388</v>
      </c>
      <c r="B89" s="17" t="s">
        <v>349</v>
      </c>
      <c r="C89" s="17" t="s">
        <v>68</v>
      </c>
      <c r="D89" s="17" t="s">
        <v>39</v>
      </c>
      <c r="E89" s="17" t="s">
        <v>389</v>
      </c>
      <c r="F89" s="17" t="s">
        <v>351</v>
      </c>
      <c r="G89" s="17" t="s">
        <v>321</v>
      </c>
      <c r="H89" s="17" t="s">
        <v>72</v>
      </c>
      <c r="I89" s="17" t="s">
        <v>73</v>
      </c>
      <c r="J89" s="17" t="s">
        <v>74</v>
      </c>
      <c r="K89" s="17" t="s">
        <v>95</v>
      </c>
    </row>
    <row r="90" customFormat="false" ht="38" hidden="false" customHeight="true" outlineLevel="0" collapsed="false">
      <c r="A90" s="17" t="s">
        <v>390</v>
      </c>
      <c r="B90" s="17" t="s">
        <v>349</v>
      </c>
      <c r="C90" s="17" t="s">
        <v>68</v>
      </c>
      <c r="D90" s="17" t="s">
        <v>39</v>
      </c>
      <c r="E90" s="17" t="s">
        <v>391</v>
      </c>
      <c r="F90" s="17" t="s">
        <v>351</v>
      </c>
      <c r="G90" s="17" t="s">
        <v>392</v>
      </c>
      <c r="H90" s="17" t="s">
        <v>72</v>
      </c>
      <c r="I90" s="17" t="s">
        <v>73</v>
      </c>
      <c r="J90" s="17" t="s">
        <v>74</v>
      </c>
      <c r="K90" s="17" t="s">
        <v>95</v>
      </c>
    </row>
    <row r="91" customFormat="false" ht="38" hidden="false" customHeight="true" outlineLevel="0" collapsed="false">
      <c r="A91" s="17" t="s">
        <v>393</v>
      </c>
      <c r="B91" s="17" t="s">
        <v>349</v>
      </c>
      <c r="C91" s="17" t="s">
        <v>68</v>
      </c>
      <c r="D91" s="17" t="s">
        <v>39</v>
      </c>
      <c r="E91" s="17" t="s">
        <v>394</v>
      </c>
      <c r="F91" s="17" t="s">
        <v>351</v>
      </c>
      <c r="G91" s="17" t="s">
        <v>395</v>
      </c>
      <c r="H91" s="17" t="s">
        <v>72</v>
      </c>
      <c r="I91" s="17" t="s">
        <v>73</v>
      </c>
      <c r="J91" s="17" t="s">
        <v>74</v>
      </c>
      <c r="K91" s="17" t="s">
        <v>95</v>
      </c>
    </row>
    <row r="92" customFormat="false" ht="38" hidden="false" customHeight="true" outlineLevel="0" collapsed="false">
      <c r="A92" s="17" t="s">
        <v>396</v>
      </c>
      <c r="B92" s="17" t="s">
        <v>349</v>
      </c>
      <c r="C92" s="17" t="s">
        <v>68</v>
      </c>
      <c r="D92" s="17" t="s">
        <v>39</v>
      </c>
      <c r="E92" s="17" t="s">
        <v>397</v>
      </c>
      <c r="F92" s="17" t="s">
        <v>351</v>
      </c>
      <c r="G92" s="17" t="s">
        <v>398</v>
      </c>
      <c r="H92" s="17" t="s">
        <v>72</v>
      </c>
      <c r="I92" s="17" t="s">
        <v>73</v>
      </c>
      <c r="J92" s="17" t="s">
        <v>74</v>
      </c>
      <c r="K92" s="17" t="s">
        <v>95</v>
      </c>
    </row>
    <row r="93" customFormat="false" ht="38" hidden="false" customHeight="true" outlineLevel="0" collapsed="false">
      <c r="A93" s="17" t="s">
        <v>399</v>
      </c>
      <c r="B93" s="17" t="s">
        <v>349</v>
      </c>
      <c r="C93" s="17" t="s">
        <v>68</v>
      </c>
      <c r="D93" s="17" t="s">
        <v>39</v>
      </c>
      <c r="E93" s="17" t="s">
        <v>400</v>
      </c>
      <c r="F93" s="17" t="s">
        <v>351</v>
      </c>
      <c r="G93" s="17" t="s">
        <v>325</v>
      </c>
      <c r="H93" s="17" t="s">
        <v>72</v>
      </c>
      <c r="I93" s="17" t="s">
        <v>73</v>
      </c>
      <c r="J93" s="17" t="s">
        <v>74</v>
      </c>
      <c r="K93" s="17" t="s">
        <v>95</v>
      </c>
    </row>
    <row r="94" customFormat="false" ht="38" hidden="false" customHeight="true" outlineLevel="0" collapsed="false">
      <c r="A94" s="17" t="s">
        <v>401</v>
      </c>
      <c r="B94" s="17" t="s">
        <v>264</v>
      </c>
      <c r="C94" s="17" t="s">
        <v>68</v>
      </c>
      <c r="D94" s="17" t="s">
        <v>40</v>
      </c>
      <c r="E94" s="17" t="s">
        <v>402</v>
      </c>
      <c r="F94" s="17" t="s">
        <v>403</v>
      </c>
      <c r="G94" s="17" t="s">
        <v>403</v>
      </c>
      <c r="H94" s="17" t="s">
        <v>72</v>
      </c>
      <c r="I94" s="17" t="s">
        <v>73</v>
      </c>
      <c r="J94" s="17" t="s">
        <v>74</v>
      </c>
      <c r="K94" s="17" t="s">
        <v>99</v>
      </c>
    </row>
    <row r="95" customFormat="false" ht="38" hidden="false" customHeight="true" outlineLevel="0" collapsed="false">
      <c r="A95" s="17" t="s">
        <v>404</v>
      </c>
      <c r="B95" s="17" t="s">
        <v>267</v>
      </c>
      <c r="C95" s="17" t="s">
        <v>68</v>
      </c>
      <c r="D95" s="17" t="s">
        <v>40</v>
      </c>
      <c r="E95" s="17" t="s">
        <v>405</v>
      </c>
      <c r="F95" s="17" t="s">
        <v>269</v>
      </c>
      <c r="G95" s="17" t="s">
        <v>269</v>
      </c>
      <c r="H95" s="17" t="s">
        <v>72</v>
      </c>
      <c r="I95" s="17" t="s">
        <v>105</v>
      </c>
      <c r="J95" s="17" t="s">
        <v>74</v>
      </c>
      <c r="K95" s="17" t="s">
        <v>270</v>
      </c>
    </row>
    <row r="96" customFormat="false" ht="38" hidden="false" customHeight="true" outlineLevel="0" collapsed="false">
      <c r="A96" s="17" t="s">
        <v>406</v>
      </c>
      <c r="B96" s="17" t="s">
        <v>272</v>
      </c>
      <c r="C96" s="17" t="s">
        <v>68</v>
      </c>
      <c r="D96" s="17" t="s">
        <v>40</v>
      </c>
      <c r="E96" s="17" t="s">
        <v>407</v>
      </c>
      <c r="F96" s="17" t="s">
        <v>274</v>
      </c>
      <c r="G96" s="17" t="s">
        <v>274</v>
      </c>
      <c r="H96" s="17" t="s">
        <v>72</v>
      </c>
      <c r="I96" s="17" t="s">
        <v>105</v>
      </c>
      <c r="J96" s="17" t="s">
        <v>74</v>
      </c>
      <c r="K96" s="17" t="s">
        <v>270</v>
      </c>
    </row>
    <row r="97" customFormat="false" ht="38" hidden="false" customHeight="true" outlineLevel="0" collapsed="false">
      <c r="A97" s="17" t="s">
        <v>408</v>
      </c>
      <c r="B97" s="17" t="s">
        <v>276</v>
      </c>
      <c r="C97" s="17" t="s">
        <v>68</v>
      </c>
      <c r="D97" s="17" t="s">
        <v>40</v>
      </c>
      <c r="E97" s="17" t="s">
        <v>409</v>
      </c>
      <c r="F97" s="17" t="s">
        <v>278</v>
      </c>
      <c r="G97" s="17" t="s">
        <v>278</v>
      </c>
      <c r="H97" s="17" t="s">
        <v>72</v>
      </c>
      <c r="I97" s="17" t="s">
        <v>73</v>
      </c>
      <c r="J97" s="17" t="s">
        <v>74</v>
      </c>
      <c r="K97" s="17" t="s">
        <v>279</v>
      </c>
    </row>
    <row r="98" customFormat="false" ht="38" hidden="false" customHeight="true" outlineLevel="0" collapsed="false">
      <c r="A98" s="17" t="s">
        <v>410</v>
      </c>
      <c r="B98" s="17" t="s">
        <v>281</v>
      </c>
      <c r="C98" s="17" t="s">
        <v>68</v>
      </c>
      <c r="D98" s="17" t="s">
        <v>40</v>
      </c>
      <c r="E98" s="17" t="s">
        <v>411</v>
      </c>
      <c r="F98" s="17" t="s">
        <v>175</v>
      </c>
      <c r="G98" s="17" t="s">
        <v>175</v>
      </c>
      <c r="H98" s="17" t="s">
        <v>72</v>
      </c>
      <c r="I98" s="17" t="s">
        <v>73</v>
      </c>
      <c r="J98" s="17" t="s">
        <v>74</v>
      </c>
      <c r="K98" s="17" t="s">
        <v>279</v>
      </c>
    </row>
    <row r="99" customFormat="false" ht="38" hidden="false" customHeight="true" outlineLevel="0" collapsed="false">
      <c r="A99" s="17" t="s">
        <v>412</v>
      </c>
      <c r="B99" s="17" t="s">
        <v>284</v>
      </c>
      <c r="C99" s="17" t="s">
        <v>68</v>
      </c>
      <c r="D99" s="17" t="s">
        <v>40</v>
      </c>
      <c r="E99" s="17" t="s">
        <v>413</v>
      </c>
      <c r="F99" s="17" t="s">
        <v>286</v>
      </c>
      <c r="G99" s="17" t="s">
        <v>286</v>
      </c>
      <c r="H99" s="17" t="s">
        <v>72</v>
      </c>
      <c r="I99" s="17" t="s">
        <v>73</v>
      </c>
      <c r="J99" s="17" t="s">
        <v>74</v>
      </c>
      <c r="K99" s="17" t="s">
        <v>287</v>
      </c>
    </row>
    <row r="100" customFormat="false" ht="38" hidden="false" customHeight="true" outlineLevel="0" collapsed="false">
      <c r="A100" s="17" t="s">
        <v>414</v>
      </c>
      <c r="B100" s="17" t="s">
        <v>289</v>
      </c>
      <c r="C100" s="17" t="s">
        <v>68</v>
      </c>
      <c r="D100" s="17" t="s">
        <v>40</v>
      </c>
      <c r="E100" s="17" t="s">
        <v>415</v>
      </c>
      <c r="F100" s="17" t="s">
        <v>104</v>
      </c>
      <c r="G100" s="17" t="s">
        <v>104</v>
      </c>
      <c r="H100" s="17" t="s">
        <v>72</v>
      </c>
      <c r="I100" s="17" t="s">
        <v>73</v>
      </c>
      <c r="J100" s="17" t="s">
        <v>74</v>
      </c>
      <c r="K100" s="17" t="s">
        <v>291</v>
      </c>
    </row>
    <row r="101" customFormat="false" ht="38" hidden="false" customHeight="true" outlineLevel="0" collapsed="false">
      <c r="A101" s="17" t="s">
        <v>416</v>
      </c>
      <c r="B101" s="17" t="s">
        <v>293</v>
      </c>
      <c r="C101" s="17" t="s">
        <v>68</v>
      </c>
      <c r="D101" s="17" t="s">
        <v>40</v>
      </c>
      <c r="E101" s="17" t="s">
        <v>417</v>
      </c>
      <c r="F101" s="17" t="s">
        <v>104</v>
      </c>
      <c r="G101" s="17" t="s">
        <v>104</v>
      </c>
      <c r="H101" s="17" t="s">
        <v>72</v>
      </c>
      <c r="I101" s="17" t="s">
        <v>105</v>
      </c>
      <c r="J101" s="17" t="s">
        <v>74</v>
      </c>
      <c r="K101" s="17" t="s">
        <v>295</v>
      </c>
    </row>
    <row r="102" customFormat="false" ht="38" hidden="false" customHeight="true" outlineLevel="0" collapsed="false">
      <c r="A102" s="17" t="s">
        <v>418</v>
      </c>
      <c r="B102" s="17" t="s">
        <v>297</v>
      </c>
      <c r="C102" s="17" t="s">
        <v>68</v>
      </c>
      <c r="D102" s="17" t="s">
        <v>40</v>
      </c>
      <c r="E102" s="17" t="s">
        <v>419</v>
      </c>
      <c r="F102" s="17" t="s">
        <v>164</v>
      </c>
      <c r="G102" s="17" t="s">
        <v>164</v>
      </c>
      <c r="H102" s="17" t="s">
        <v>72</v>
      </c>
      <c r="I102" s="17" t="s">
        <v>73</v>
      </c>
      <c r="J102" s="17" t="s">
        <v>74</v>
      </c>
      <c r="K102" s="17" t="s">
        <v>299</v>
      </c>
    </row>
    <row r="103" customFormat="false" ht="38" hidden="false" customHeight="true" outlineLevel="0" collapsed="false">
      <c r="A103" s="17" t="s">
        <v>420</v>
      </c>
      <c r="B103" s="17" t="s">
        <v>301</v>
      </c>
      <c r="C103" s="17" t="s">
        <v>68</v>
      </c>
      <c r="D103" s="17" t="s">
        <v>40</v>
      </c>
      <c r="E103" s="17" t="s">
        <v>421</v>
      </c>
      <c r="F103" s="17" t="s">
        <v>278</v>
      </c>
      <c r="G103" s="17" t="s">
        <v>278</v>
      </c>
      <c r="H103" s="17" t="s">
        <v>72</v>
      </c>
      <c r="I103" s="17" t="s">
        <v>105</v>
      </c>
      <c r="J103" s="17" t="s">
        <v>74</v>
      </c>
      <c r="K103" s="17" t="s">
        <v>303</v>
      </c>
    </row>
    <row r="104" customFormat="false" ht="38" hidden="false" customHeight="true" outlineLevel="0" collapsed="false">
      <c r="A104" s="17" t="s">
        <v>422</v>
      </c>
      <c r="B104" s="17" t="s">
        <v>305</v>
      </c>
      <c r="C104" s="17" t="s">
        <v>68</v>
      </c>
      <c r="D104" s="17" t="s">
        <v>40</v>
      </c>
      <c r="E104" s="17" t="s">
        <v>423</v>
      </c>
      <c r="F104" s="17" t="s">
        <v>286</v>
      </c>
      <c r="G104" s="17" t="s">
        <v>286</v>
      </c>
      <c r="H104" s="17" t="s">
        <v>72</v>
      </c>
      <c r="I104" s="17" t="s">
        <v>73</v>
      </c>
      <c r="J104" s="17" t="s">
        <v>74</v>
      </c>
      <c r="K104" s="17" t="s">
        <v>424</v>
      </c>
    </row>
    <row r="105" customFormat="false" ht="38" hidden="false" customHeight="true" outlineLevel="0" collapsed="false">
      <c r="A105" s="17" t="s">
        <v>425</v>
      </c>
      <c r="B105" s="17" t="s">
        <v>309</v>
      </c>
      <c r="C105" s="17" t="s">
        <v>68</v>
      </c>
      <c r="D105" s="17" t="s">
        <v>40</v>
      </c>
      <c r="E105" s="17" t="s">
        <v>426</v>
      </c>
      <c r="F105" s="17" t="s">
        <v>311</v>
      </c>
      <c r="G105" s="17" t="s">
        <v>311</v>
      </c>
      <c r="H105" s="17" t="s">
        <v>72</v>
      </c>
      <c r="I105" s="17" t="s">
        <v>105</v>
      </c>
      <c r="J105" s="17" t="s">
        <v>74</v>
      </c>
      <c r="K105" s="17" t="s">
        <v>312</v>
      </c>
    </row>
    <row r="106" customFormat="false" ht="38" hidden="false" customHeight="true" outlineLevel="0" collapsed="false">
      <c r="A106" s="17" t="s">
        <v>427</v>
      </c>
      <c r="B106" s="17" t="s">
        <v>314</v>
      </c>
      <c r="C106" s="17" t="s">
        <v>68</v>
      </c>
      <c r="D106" s="17" t="s">
        <v>41</v>
      </c>
      <c r="E106" s="17" t="s">
        <v>428</v>
      </c>
      <c r="F106" s="17" t="s">
        <v>316</v>
      </c>
      <c r="G106" s="17" t="s">
        <v>316</v>
      </c>
      <c r="H106" s="17" t="s">
        <v>72</v>
      </c>
      <c r="I106" s="17" t="s">
        <v>73</v>
      </c>
      <c r="J106" s="17" t="s">
        <v>74</v>
      </c>
      <c r="K106" s="17" t="s">
        <v>429</v>
      </c>
    </row>
    <row r="107" customFormat="false" ht="38" hidden="false" customHeight="true" outlineLevel="0" collapsed="false">
      <c r="A107" s="17" t="s">
        <v>430</v>
      </c>
      <c r="B107" s="17" t="s">
        <v>319</v>
      </c>
      <c r="C107" s="17" t="s">
        <v>68</v>
      </c>
      <c r="D107" s="17" t="s">
        <v>41</v>
      </c>
      <c r="E107" s="17" t="s">
        <v>431</v>
      </c>
      <c r="F107" s="17" t="s">
        <v>321</v>
      </c>
      <c r="G107" s="17" t="s">
        <v>321</v>
      </c>
      <c r="H107" s="17" t="s">
        <v>72</v>
      </c>
      <c r="I107" s="17" t="s">
        <v>105</v>
      </c>
      <c r="J107" s="17" t="s">
        <v>74</v>
      </c>
      <c r="K107" s="17" t="s">
        <v>429</v>
      </c>
    </row>
    <row r="108" customFormat="false" ht="38" hidden="false" customHeight="true" outlineLevel="0" collapsed="false">
      <c r="A108" s="17" t="s">
        <v>432</v>
      </c>
      <c r="B108" s="17" t="s">
        <v>323</v>
      </c>
      <c r="C108" s="17" t="s">
        <v>68</v>
      </c>
      <c r="D108" s="17" t="s">
        <v>41</v>
      </c>
      <c r="E108" s="17" t="s">
        <v>433</v>
      </c>
      <c r="F108" s="17" t="s">
        <v>370</v>
      </c>
      <c r="G108" s="17" t="s">
        <v>370</v>
      </c>
      <c r="H108" s="17" t="s">
        <v>72</v>
      </c>
      <c r="I108" s="17" t="s">
        <v>105</v>
      </c>
      <c r="J108" s="17" t="s">
        <v>74</v>
      </c>
      <c r="K108" s="17" t="s">
        <v>429</v>
      </c>
    </row>
    <row r="109" customFormat="false" ht="38" hidden="false" customHeight="true" outlineLevel="0" collapsed="false">
      <c r="A109" s="17" t="s">
        <v>434</v>
      </c>
      <c r="B109" s="17" t="s">
        <v>327</v>
      </c>
      <c r="C109" s="17" t="s">
        <v>68</v>
      </c>
      <c r="D109" s="17" t="s">
        <v>41</v>
      </c>
      <c r="E109" s="17" t="s">
        <v>435</v>
      </c>
      <c r="F109" s="17" t="s">
        <v>436</v>
      </c>
      <c r="G109" s="17" t="s">
        <v>286</v>
      </c>
      <c r="H109" s="17" t="s">
        <v>72</v>
      </c>
      <c r="I109" s="17" t="s">
        <v>105</v>
      </c>
      <c r="J109" s="17" t="s">
        <v>74</v>
      </c>
      <c r="K109" s="17" t="s">
        <v>437</v>
      </c>
    </row>
    <row r="110" customFormat="false" ht="38" hidden="false" customHeight="true" outlineLevel="0" collapsed="false">
      <c r="A110" s="17" t="s">
        <v>438</v>
      </c>
      <c r="B110" s="17" t="s">
        <v>333</v>
      </c>
      <c r="C110" s="17" t="s">
        <v>68</v>
      </c>
      <c r="D110" s="17" t="s">
        <v>41</v>
      </c>
      <c r="E110" s="17" t="s">
        <v>439</v>
      </c>
      <c r="F110" s="17" t="s">
        <v>335</v>
      </c>
      <c r="G110" s="17" t="s">
        <v>336</v>
      </c>
      <c r="H110" s="17" t="s">
        <v>72</v>
      </c>
      <c r="I110" s="17" t="s">
        <v>105</v>
      </c>
      <c r="J110" s="17" t="s">
        <v>74</v>
      </c>
      <c r="K110" s="17" t="s">
        <v>337</v>
      </c>
    </row>
    <row r="111" customFormat="false" ht="38" hidden="false" customHeight="true" outlineLevel="0" collapsed="false">
      <c r="A111" s="17" t="s">
        <v>440</v>
      </c>
      <c r="B111" s="17" t="s">
        <v>339</v>
      </c>
      <c r="C111" s="17" t="s">
        <v>68</v>
      </c>
      <c r="D111" s="17" t="s">
        <v>41</v>
      </c>
      <c r="E111" s="17" t="s">
        <v>441</v>
      </c>
      <c r="F111" s="17" t="s">
        <v>341</v>
      </c>
      <c r="G111" s="17" t="s">
        <v>429</v>
      </c>
      <c r="H111" s="17" t="s">
        <v>72</v>
      </c>
      <c r="I111" s="17" t="s">
        <v>105</v>
      </c>
      <c r="J111" s="17" t="s">
        <v>74</v>
      </c>
      <c r="K111" s="17" t="s">
        <v>342</v>
      </c>
    </row>
    <row r="112" customFormat="false" ht="38" hidden="false" customHeight="true" outlineLevel="0" collapsed="false">
      <c r="A112" s="17" t="s">
        <v>442</v>
      </c>
      <c r="B112" s="17" t="s">
        <v>344</v>
      </c>
      <c r="C112" s="17" t="s">
        <v>68</v>
      </c>
      <c r="D112" s="17" t="s">
        <v>41</v>
      </c>
      <c r="E112" s="17" t="s">
        <v>443</v>
      </c>
      <c r="F112" s="17" t="s">
        <v>346</v>
      </c>
      <c r="G112" s="17" t="s">
        <v>164</v>
      </c>
      <c r="H112" s="17" t="s">
        <v>72</v>
      </c>
      <c r="I112" s="17" t="s">
        <v>105</v>
      </c>
      <c r="J112" s="17" t="s">
        <v>74</v>
      </c>
      <c r="K112" s="17" t="s">
        <v>347</v>
      </c>
    </row>
    <row r="113" customFormat="false" ht="38" hidden="false" customHeight="true" outlineLevel="0" collapsed="false">
      <c r="A113" s="17" t="s">
        <v>444</v>
      </c>
      <c r="B113" s="17" t="s">
        <v>349</v>
      </c>
      <c r="C113" s="17" t="s">
        <v>68</v>
      </c>
      <c r="D113" s="17" t="s">
        <v>39</v>
      </c>
      <c r="E113" s="17" t="s">
        <v>445</v>
      </c>
      <c r="F113" s="17" t="s">
        <v>351</v>
      </c>
      <c r="G113" s="17" t="s">
        <v>352</v>
      </c>
      <c r="H113" s="17" t="s">
        <v>72</v>
      </c>
      <c r="I113" s="17" t="s">
        <v>73</v>
      </c>
      <c r="J113" s="17" t="s">
        <v>74</v>
      </c>
      <c r="K113" s="17" t="s">
        <v>95</v>
      </c>
    </row>
    <row r="114" customFormat="false" ht="38" hidden="false" customHeight="true" outlineLevel="0" collapsed="false">
      <c r="A114" s="17" t="s">
        <v>446</v>
      </c>
      <c r="B114" s="17" t="s">
        <v>349</v>
      </c>
      <c r="C114" s="17" t="s">
        <v>68</v>
      </c>
      <c r="D114" s="17" t="s">
        <v>39</v>
      </c>
      <c r="E114" s="17" t="s">
        <v>447</v>
      </c>
      <c r="F114" s="17" t="s">
        <v>351</v>
      </c>
      <c r="G114" s="17" t="s">
        <v>448</v>
      </c>
      <c r="H114" s="17" t="s">
        <v>72</v>
      </c>
      <c r="I114" s="17" t="s">
        <v>73</v>
      </c>
      <c r="J114" s="17" t="s">
        <v>74</v>
      </c>
      <c r="K114" s="17" t="s">
        <v>95</v>
      </c>
    </row>
    <row r="115" customFormat="false" ht="38" hidden="false" customHeight="true" outlineLevel="0" collapsed="false">
      <c r="A115" s="17" t="s">
        <v>449</v>
      </c>
      <c r="B115" s="17" t="s">
        <v>349</v>
      </c>
      <c r="C115" s="17" t="s">
        <v>68</v>
      </c>
      <c r="D115" s="17" t="s">
        <v>39</v>
      </c>
      <c r="E115" s="17" t="s">
        <v>450</v>
      </c>
      <c r="F115" s="17" t="s">
        <v>351</v>
      </c>
      <c r="G115" s="17" t="s">
        <v>358</v>
      </c>
      <c r="H115" s="17" t="s">
        <v>72</v>
      </c>
      <c r="I115" s="17" t="s">
        <v>73</v>
      </c>
      <c r="J115" s="17" t="s">
        <v>74</v>
      </c>
      <c r="K115" s="17" t="s">
        <v>95</v>
      </c>
    </row>
    <row r="116" customFormat="false" ht="38" hidden="false" customHeight="true" outlineLevel="0" collapsed="false">
      <c r="A116" s="17" t="s">
        <v>451</v>
      </c>
      <c r="B116" s="17" t="s">
        <v>349</v>
      </c>
      <c r="C116" s="17" t="s">
        <v>68</v>
      </c>
      <c r="D116" s="17" t="s">
        <v>39</v>
      </c>
      <c r="E116" s="17" t="s">
        <v>452</v>
      </c>
      <c r="F116" s="17" t="s">
        <v>351</v>
      </c>
      <c r="G116" s="17" t="s">
        <v>453</v>
      </c>
      <c r="H116" s="17" t="s">
        <v>72</v>
      </c>
      <c r="I116" s="17" t="s">
        <v>73</v>
      </c>
      <c r="J116" s="17" t="s">
        <v>74</v>
      </c>
      <c r="K116" s="17" t="s">
        <v>95</v>
      </c>
    </row>
    <row r="117" customFormat="false" ht="38" hidden="false" customHeight="true" outlineLevel="0" collapsed="false">
      <c r="A117" s="17" t="s">
        <v>454</v>
      </c>
      <c r="B117" s="17" t="s">
        <v>349</v>
      </c>
      <c r="C117" s="17" t="s">
        <v>68</v>
      </c>
      <c r="D117" s="17" t="s">
        <v>39</v>
      </c>
      <c r="E117" s="17" t="s">
        <v>455</v>
      </c>
      <c r="F117" s="17" t="s">
        <v>351</v>
      </c>
      <c r="G117" s="17" t="s">
        <v>456</v>
      </c>
      <c r="H117" s="17" t="s">
        <v>72</v>
      </c>
      <c r="I117" s="17" t="s">
        <v>73</v>
      </c>
      <c r="J117" s="17" t="s">
        <v>74</v>
      </c>
      <c r="K117" s="17" t="s">
        <v>95</v>
      </c>
    </row>
    <row r="118" customFormat="false" ht="38" hidden="false" customHeight="true" outlineLevel="0" collapsed="false">
      <c r="A118" s="17" t="s">
        <v>457</v>
      </c>
      <c r="B118" s="17" t="s">
        <v>349</v>
      </c>
      <c r="C118" s="17" t="s">
        <v>68</v>
      </c>
      <c r="D118" s="17" t="s">
        <v>39</v>
      </c>
      <c r="E118" s="17" t="s">
        <v>458</v>
      </c>
      <c r="F118" s="17" t="s">
        <v>351</v>
      </c>
      <c r="G118" s="17" t="s">
        <v>370</v>
      </c>
      <c r="H118" s="17" t="s">
        <v>72</v>
      </c>
      <c r="I118" s="17" t="s">
        <v>73</v>
      </c>
      <c r="J118" s="17" t="s">
        <v>74</v>
      </c>
      <c r="K118" s="17" t="s">
        <v>95</v>
      </c>
    </row>
    <row r="119" customFormat="false" ht="38" hidden="false" customHeight="true" outlineLevel="0" collapsed="false">
      <c r="A119" s="17" t="s">
        <v>459</v>
      </c>
      <c r="B119" s="17" t="s">
        <v>349</v>
      </c>
      <c r="C119" s="17" t="s">
        <v>68</v>
      </c>
      <c r="D119" s="17" t="s">
        <v>39</v>
      </c>
      <c r="E119" s="17" t="s">
        <v>460</v>
      </c>
      <c r="F119" s="17" t="s">
        <v>351</v>
      </c>
      <c r="G119" s="17" t="s">
        <v>461</v>
      </c>
      <c r="H119" s="17" t="s">
        <v>72</v>
      </c>
      <c r="I119" s="17" t="s">
        <v>73</v>
      </c>
      <c r="J119" s="17" t="s">
        <v>74</v>
      </c>
      <c r="K119" s="17" t="s">
        <v>95</v>
      </c>
    </row>
    <row r="120" customFormat="false" ht="38" hidden="false" customHeight="true" outlineLevel="0" collapsed="false">
      <c r="A120" s="17" t="s">
        <v>462</v>
      </c>
      <c r="B120" s="17" t="s">
        <v>349</v>
      </c>
      <c r="C120" s="17" t="s">
        <v>68</v>
      </c>
      <c r="D120" s="17" t="s">
        <v>39</v>
      </c>
      <c r="E120" s="17" t="s">
        <v>463</v>
      </c>
      <c r="F120" s="17" t="s">
        <v>351</v>
      </c>
      <c r="G120" s="17" t="s">
        <v>464</v>
      </c>
      <c r="H120" s="17" t="s">
        <v>72</v>
      </c>
      <c r="I120" s="17" t="s">
        <v>73</v>
      </c>
      <c r="J120" s="17" t="s">
        <v>74</v>
      </c>
      <c r="K120" s="17" t="s">
        <v>95</v>
      </c>
    </row>
    <row r="121" customFormat="false" ht="38" hidden="false" customHeight="true" outlineLevel="0" collapsed="false">
      <c r="A121" s="17" t="s">
        <v>465</v>
      </c>
      <c r="B121" s="17" t="s">
        <v>349</v>
      </c>
      <c r="C121" s="17" t="s">
        <v>68</v>
      </c>
      <c r="D121" s="17" t="s">
        <v>39</v>
      </c>
      <c r="E121" s="17" t="s">
        <v>466</v>
      </c>
      <c r="F121" s="17" t="s">
        <v>351</v>
      </c>
      <c r="G121" s="17" t="s">
        <v>316</v>
      </c>
      <c r="H121" s="17" t="s">
        <v>72</v>
      </c>
      <c r="I121" s="17" t="s">
        <v>73</v>
      </c>
      <c r="J121" s="17" t="s">
        <v>74</v>
      </c>
      <c r="K121" s="17" t="s">
        <v>95</v>
      </c>
    </row>
    <row r="122" customFormat="false" ht="38" hidden="false" customHeight="true" outlineLevel="0" collapsed="false">
      <c r="A122" s="17" t="s">
        <v>467</v>
      </c>
      <c r="B122" s="17" t="s">
        <v>349</v>
      </c>
      <c r="C122" s="17" t="s">
        <v>68</v>
      </c>
      <c r="D122" s="17" t="s">
        <v>39</v>
      </c>
      <c r="E122" s="17" t="s">
        <v>468</v>
      </c>
      <c r="F122" s="17" t="s">
        <v>351</v>
      </c>
      <c r="G122" s="17" t="s">
        <v>381</v>
      </c>
      <c r="H122" s="17" t="s">
        <v>72</v>
      </c>
      <c r="I122" s="17" t="s">
        <v>73</v>
      </c>
      <c r="J122" s="17" t="s">
        <v>74</v>
      </c>
      <c r="K122" s="17" t="s">
        <v>95</v>
      </c>
    </row>
    <row r="123" customFormat="false" ht="38" hidden="false" customHeight="true" outlineLevel="0" collapsed="false">
      <c r="A123" s="17" t="s">
        <v>469</v>
      </c>
      <c r="B123" s="17" t="s">
        <v>349</v>
      </c>
      <c r="C123" s="17" t="s">
        <v>68</v>
      </c>
      <c r="D123" s="17" t="s">
        <v>39</v>
      </c>
      <c r="E123" s="17" t="s">
        <v>470</v>
      </c>
      <c r="F123" s="17" t="s">
        <v>351</v>
      </c>
      <c r="G123" s="17" t="s">
        <v>387</v>
      </c>
      <c r="H123" s="17" t="s">
        <v>72</v>
      </c>
      <c r="I123" s="17" t="s">
        <v>73</v>
      </c>
      <c r="J123" s="17" t="s">
        <v>74</v>
      </c>
      <c r="K123" s="17" t="s">
        <v>95</v>
      </c>
    </row>
    <row r="124" customFormat="false" ht="38" hidden="false" customHeight="true" outlineLevel="0" collapsed="false">
      <c r="A124" s="17" t="s">
        <v>471</v>
      </c>
      <c r="B124" s="17" t="s">
        <v>349</v>
      </c>
      <c r="C124" s="17" t="s">
        <v>68</v>
      </c>
      <c r="D124" s="17" t="s">
        <v>39</v>
      </c>
      <c r="E124" s="17" t="s">
        <v>472</v>
      </c>
      <c r="F124" s="17" t="s">
        <v>351</v>
      </c>
      <c r="G124" s="17" t="s">
        <v>321</v>
      </c>
      <c r="H124" s="17" t="s">
        <v>72</v>
      </c>
      <c r="I124" s="17" t="s">
        <v>73</v>
      </c>
      <c r="J124" s="17" t="s">
        <v>74</v>
      </c>
      <c r="K124" s="17" t="s">
        <v>95</v>
      </c>
    </row>
    <row r="125" customFormat="false" ht="38" hidden="false" customHeight="true" outlineLevel="0" collapsed="false">
      <c r="A125" s="17" t="s">
        <v>473</v>
      </c>
      <c r="B125" s="17" t="s">
        <v>349</v>
      </c>
      <c r="C125" s="17" t="s">
        <v>68</v>
      </c>
      <c r="D125" s="17" t="s">
        <v>39</v>
      </c>
      <c r="E125" s="17" t="s">
        <v>474</v>
      </c>
      <c r="F125" s="17" t="s">
        <v>351</v>
      </c>
      <c r="G125" s="17" t="s">
        <v>392</v>
      </c>
      <c r="H125" s="17" t="s">
        <v>72</v>
      </c>
      <c r="I125" s="17" t="s">
        <v>73</v>
      </c>
      <c r="J125" s="17" t="s">
        <v>74</v>
      </c>
      <c r="K125" s="17" t="s">
        <v>95</v>
      </c>
    </row>
    <row r="126" customFormat="false" ht="38" hidden="false" customHeight="true" outlineLevel="0" collapsed="false">
      <c r="A126" s="17" t="s">
        <v>475</v>
      </c>
      <c r="B126" s="17" t="s">
        <v>349</v>
      </c>
      <c r="C126" s="17" t="s">
        <v>68</v>
      </c>
      <c r="D126" s="17" t="s">
        <v>39</v>
      </c>
      <c r="E126" s="17" t="s">
        <v>476</v>
      </c>
      <c r="F126" s="17" t="s">
        <v>351</v>
      </c>
      <c r="G126" s="17" t="s">
        <v>395</v>
      </c>
      <c r="H126" s="17" t="s">
        <v>72</v>
      </c>
      <c r="I126" s="17" t="s">
        <v>73</v>
      </c>
      <c r="J126" s="17" t="s">
        <v>74</v>
      </c>
      <c r="K126" s="17" t="s">
        <v>95</v>
      </c>
    </row>
    <row r="127" customFormat="false" ht="38" hidden="false" customHeight="true" outlineLevel="0" collapsed="false">
      <c r="A127" s="17" t="s">
        <v>477</v>
      </c>
      <c r="B127" s="17" t="s">
        <v>349</v>
      </c>
      <c r="C127" s="17" t="s">
        <v>68</v>
      </c>
      <c r="D127" s="17" t="s">
        <v>39</v>
      </c>
      <c r="E127" s="17" t="s">
        <v>478</v>
      </c>
      <c r="F127" s="17" t="s">
        <v>351</v>
      </c>
      <c r="G127" s="17" t="s">
        <v>398</v>
      </c>
      <c r="H127" s="17" t="s">
        <v>72</v>
      </c>
      <c r="I127" s="17" t="s">
        <v>73</v>
      </c>
      <c r="J127" s="17" t="s">
        <v>74</v>
      </c>
      <c r="K127" s="17" t="s">
        <v>95</v>
      </c>
    </row>
    <row r="128" customFormat="false" ht="38" hidden="false" customHeight="true" outlineLevel="0" collapsed="false">
      <c r="A128" s="17" t="s">
        <v>479</v>
      </c>
      <c r="B128" s="17" t="s">
        <v>349</v>
      </c>
      <c r="C128" s="17" t="s">
        <v>68</v>
      </c>
      <c r="D128" s="17" t="s">
        <v>39</v>
      </c>
      <c r="E128" s="17" t="s">
        <v>480</v>
      </c>
      <c r="F128" s="17" t="s">
        <v>351</v>
      </c>
      <c r="G128" s="17" t="s">
        <v>325</v>
      </c>
      <c r="H128" s="17" t="s">
        <v>72</v>
      </c>
      <c r="I128" s="17" t="s">
        <v>73</v>
      </c>
      <c r="J128" s="17" t="s">
        <v>74</v>
      </c>
      <c r="K128" s="17" t="s">
        <v>95</v>
      </c>
    </row>
    <row r="129" customFormat="false" ht="38" hidden="false" customHeight="true" outlineLevel="0" collapsed="false">
      <c r="A129" s="17" t="s">
        <v>481</v>
      </c>
      <c r="B129" s="17" t="s">
        <v>264</v>
      </c>
      <c r="C129" s="17" t="s">
        <v>68</v>
      </c>
      <c r="D129" s="17" t="s">
        <v>40</v>
      </c>
      <c r="E129" s="17" t="s">
        <v>482</v>
      </c>
      <c r="F129" s="17" t="s">
        <v>330</v>
      </c>
      <c r="G129" s="17" t="s">
        <v>330</v>
      </c>
      <c r="H129" s="17" t="s">
        <v>72</v>
      </c>
      <c r="I129" s="17" t="s">
        <v>73</v>
      </c>
      <c r="J129" s="17" t="s">
        <v>74</v>
      </c>
      <c r="K129" s="17" t="s">
        <v>99</v>
      </c>
    </row>
    <row r="130" customFormat="false" ht="38" hidden="false" customHeight="true" outlineLevel="0" collapsed="false">
      <c r="A130" s="17" t="s">
        <v>483</v>
      </c>
      <c r="B130" s="17" t="s">
        <v>267</v>
      </c>
      <c r="C130" s="17" t="s">
        <v>68</v>
      </c>
      <c r="D130" s="17" t="s">
        <v>40</v>
      </c>
      <c r="E130" s="17" t="s">
        <v>484</v>
      </c>
      <c r="F130" s="17" t="s">
        <v>269</v>
      </c>
      <c r="G130" s="17" t="s">
        <v>269</v>
      </c>
      <c r="H130" s="17" t="s">
        <v>72</v>
      </c>
      <c r="I130" s="17" t="s">
        <v>105</v>
      </c>
      <c r="J130" s="17" t="s">
        <v>74</v>
      </c>
      <c r="K130" s="17" t="s">
        <v>270</v>
      </c>
    </row>
    <row r="131" customFormat="false" ht="38" hidden="false" customHeight="true" outlineLevel="0" collapsed="false">
      <c r="A131" s="17" t="s">
        <v>485</v>
      </c>
      <c r="B131" s="17" t="s">
        <v>272</v>
      </c>
      <c r="C131" s="17" t="s">
        <v>68</v>
      </c>
      <c r="D131" s="17" t="s">
        <v>40</v>
      </c>
      <c r="E131" s="17" t="s">
        <v>486</v>
      </c>
      <c r="F131" s="17" t="s">
        <v>274</v>
      </c>
      <c r="G131" s="17" t="s">
        <v>274</v>
      </c>
      <c r="H131" s="17" t="s">
        <v>72</v>
      </c>
      <c r="I131" s="17" t="s">
        <v>105</v>
      </c>
      <c r="J131" s="17" t="s">
        <v>74</v>
      </c>
      <c r="K131" s="17" t="s">
        <v>270</v>
      </c>
    </row>
    <row r="132" customFormat="false" ht="38" hidden="false" customHeight="true" outlineLevel="0" collapsed="false">
      <c r="A132" s="17" t="s">
        <v>487</v>
      </c>
      <c r="B132" s="17" t="s">
        <v>276</v>
      </c>
      <c r="C132" s="17" t="s">
        <v>68</v>
      </c>
      <c r="D132" s="17" t="s">
        <v>40</v>
      </c>
      <c r="E132" s="17" t="s">
        <v>488</v>
      </c>
      <c r="F132" s="17" t="s">
        <v>278</v>
      </c>
      <c r="G132" s="17" t="s">
        <v>278</v>
      </c>
      <c r="H132" s="17" t="s">
        <v>72</v>
      </c>
      <c r="I132" s="17" t="s">
        <v>73</v>
      </c>
      <c r="J132" s="17" t="s">
        <v>74</v>
      </c>
      <c r="K132" s="17" t="s">
        <v>279</v>
      </c>
    </row>
    <row r="133" customFormat="false" ht="38" hidden="false" customHeight="true" outlineLevel="0" collapsed="false">
      <c r="A133" s="17" t="s">
        <v>489</v>
      </c>
      <c r="B133" s="17" t="s">
        <v>281</v>
      </c>
      <c r="C133" s="17" t="s">
        <v>68</v>
      </c>
      <c r="D133" s="17" t="s">
        <v>40</v>
      </c>
      <c r="E133" s="17" t="s">
        <v>490</v>
      </c>
      <c r="F133" s="17" t="s">
        <v>175</v>
      </c>
      <c r="G133" s="17" t="s">
        <v>175</v>
      </c>
      <c r="H133" s="17" t="s">
        <v>72</v>
      </c>
      <c r="I133" s="17" t="s">
        <v>73</v>
      </c>
      <c r="J133" s="17" t="s">
        <v>74</v>
      </c>
      <c r="K133" s="17" t="s">
        <v>279</v>
      </c>
    </row>
    <row r="134" customFormat="false" ht="38" hidden="false" customHeight="true" outlineLevel="0" collapsed="false">
      <c r="A134" s="17" t="s">
        <v>491</v>
      </c>
      <c r="B134" s="17" t="s">
        <v>284</v>
      </c>
      <c r="C134" s="17" t="s">
        <v>68</v>
      </c>
      <c r="D134" s="17" t="s">
        <v>40</v>
      </c>
      <c r="E134" s="17" t="s">
        <v>492</v>
      </c>
      <c r="F134" s="17" t="s">
        <v>286</v>
      </c>
      <c r="G134" s="17" t="s">
        <v>286</v>
      </c>
      <c r="H134" s="17" t="s">
        <v>72</v>
      </c>
      <c r="I134" s="17" t="s">
        <v>73</v>
      </c>
      <c r="J134" s="17" t="s">
        <v>74</v>
      </c>
      <c r="K134" s="17" t="s">
        <v>287</v>
      </c>
    </row>
    <row r="135" customFormat="false" ht="38" hidden="false" customHeight="true" outlineLevel="0" collapsed="false">
      <c r="A135" s="17" t="s">
        <v>493</v>
      </c>
      <c r="B135" s="17" t="s">
        <v>289</v>
      </c>
      <c r="C135" s="17" t="s">
        <v>68</v>
      </c>
      <c r="D135" s="17" t="s">
        <v>40</v>
      </c>
      <c r="E135" s="17" t="s">
        <v>494</v>
      </c>
      <c r="F135" s="17" t="s">
        <v>104</v>
      </c>
      <c r="G135" s="17" t="s">
        <v>104</v>
      </c>
      <c r="H135" s="17" t="s">
        <v>72</v>
      </c>
      <c r="I135" s="17" t="s">
        <v>73</v>
      </c>
      <c r="J135" s="17" t="s">
        <v>74</v>
      </c>
      <c r="K135" s="17" t="s">
        <v>291</v>
      </c>
    </row>
    <row r="136" customFormat="false" ht="38" hidden="false" customHeight="true" outlineLevel="0" collapsed="false">
      <c r="A136" s="17" t="s">
        <v>495</v>
      </c>
      <c r="B136" s="17" t="s">
        <v>293</v>
      </c>
      <c r="C136" s="17" t="s">
        <v>68</v>
      </c>
      <c r="D136" s="17" t="s">
        <v>40</v>
      </c>
      <c r="E136" s="17" t="s">
        <v>496</v>
      </c>
      <c r="F136" s="17" t="s">
        <v>104</v>
      </c>
      <c r="G136" s="17" t="s">
        <v>104</v>
      </c>
      <c r="H136" s="17" t="s">
        <v>72</v>
      </c>
      <c r="I136" s="17" t="s">
        <v>105</v>
      </c>
      <c r="J136" s="17" t="s">
        <v>74</v>
      </c>
      <c r="K136" s="17" t="s">
        <v>295</v>
      </c>
    </row>
    <row r="137" customFormat="false" ht="38" hidden="false" customHeight="true" outlineLevel="0" collapsed="false">
      <c r="A137" s="17" t="s">
        <v>497</v>
      </c>
      <c r="B137" s="17" t="s">
        <v>297</v>
      </c>
      <c r="C137" s="17" t="s">
        <v>68</v>
      </c>
      <c r="D137" s="17" t="s">
        <v>40</v>
      </c>
      <c r="E137" s="17" t="s">
        <v>498</v>
      </c>
      <c r="F137" s="17" t="s">
        <v>164</v>
      </c>
      <c r="G137" s="17" t="s">
        <v>164</v>
      </c>
      <c r="H137" s="17" t="s">
        <v>72</v>
      </c>
      <c r="I137" s="17" t="s">
        <v>73</v>
      </c>
      <c r="J137" s="17" t="s">
        <v>74</v>
      </c>
      <c r="K137" s="17" t="s">
        <v>299</v>
      </c>
    </row>
    <row r="138" customFormat="false" ht="38" hidden="false" customHeight="true" outlineLevel="0" collapsed="false">
      <c r="A138" s="17" t="s">
        <v>499</v>
      </c>
      <c r="B138" s="17" t="s">
        <v>301</v>
      </c>
      <c r="C138" s="17" t="s">
        <v>68</v>
      </c>
      <c r="D138" s="17" t="s">
        <v>40</v>
      </c>
      <c r="E138" s="17" t="s">
        <v>500</v>
      </c>
      <c r="F138" s="17" t="s">
        <v>278</v>
      </c>
      <c r="G138" s="17" t="s">
        <v>278</v>
      </c>
      <c r="H138" s="17" t="s">
        <v>72</v>
      </c>
      <c r="I138" s="17" t="s">
        <v>105</v>
      </c>
      <c r="J138" s="17" t="s">
        <v>74</v>
      </c>
      <c r="K138" s="17" t="s">
        <v>303</v>
      </c>
    </row>
    <row r="139" customFormat="false" ht="38" hidden="false" customHeight="true" outlineLevel="0" collapsed="false">
      <c r="A139" s="17" t="s">
        <v>501</v>
      </c>
      <c r="B139" s="17" t="s">
        <v>305</v>
      </c>
      <c r="C139" s="17" t="s">
        <v>68</v>
      </c>
      <c r="D139" s="17" t="s">
        <v>40</v>
      </c>
      <c r="E139" s="17" t="s">
        <v>502</v>
      </c>
      <c r="F139" s="17" t="s">
        <v>286</v>
      </c>
      <c r="G139" s="17" t="s">
        <v>286</v>
      </c>
      <c r="H139" s="17" t="s">
        <v>72</v>
      </c>
      <c r="I139" s="17" t="s">
        <v>73</v>
      </c>
      <c r="J139" s="17" t="s">
        <v>74</v>
      </c>
      <c r="K139" s="17" t="s">
        <v>503</v>
      </c>
    </row>
    <row r="140" customFormat="false" ht="38" hidden="false" customHeight="true" outlineLevel="0" collapsed="false">
      <c r="A140" s="17" t="s">
        <v>504</v>
      </c>
      <c r="B140" s="17" t="s">
        <v>309</v>
      </c>
      <c r="C140" s="17" t="s">
        <v>68</v>
      </c>
      <c r="D140" s="17" t="s">
        <v>40</v>
      </c>
      <c r="E140" s="17" t="s">
        <v>505</v>
      </c>
      <c r="F140" s="17" t="s">
        <v>311</v>
      </c>
      <c r="G140" s="17" t="s">
        <v>311</v>
      </c>
      <c r="H140" s="17" t="s">
        <v>72</v>
      </c>
      <c r="I140" s="17" t="s">
        <v>105</v>
      </c>
      <c r="J140" s="17" t="s">
        <v>74</v>
      </c>
      <c r="K140" s="17" t="s">
        <v>312</v>
      </c>
    </row>
    <row r="141" customFormat="false" ht="38" hidden="false" customHeight="true" outlineLevel="0" collapsed="false">
      <c r="A141" s="17" t="s">
        <v>506</v>
      </c>
      <c r="B141" s="17" t="s">
        <v>314</v>
      </c>
      <c r="C141" s="17" t="s">
        <v>68</v>
      </c>
      <c r="D141" s="17" t="s">
        <v>41</v>
      </c>
      <c r="E141" s="17" t="s">
        <v>507</v>
      </c>
      <c r="F141" s="17" t="s">
        <v>316</v>
      </c>
      <c r="G141" s="17" t="s">
        <v>316</v>
      </c>
      <c r="H141" s="17" t="s">
        <v>72</v>
      </c>
      <c r="I141" s="17" t="s">
        <v>73</v>
      </c>
      <c r="J141" s="17" t="s">
        <v>74</v>
      </c>
      <c r="K141" s="17" t="s">
        <v>508</v>
      </c>
    </row>
    <row r="142" customFormat="false" ht="38" hidden="false" customHeight="true" outlineLevel="0" collapsed="false">
      <c r="A142" s="17" t="s">
        <v>509</v>
      </c>
      <c r="B142" s="17" t="s">
        <v>319</v>
      </c>
      <c r="C142" s="17" t="s">
        <v>68</v>
      </c>
      <c r="D142" s="17" t="s">
        <v>41</v>
      </c>
      <c r="E142" s="17" t="s">
        <v>510</v>
      </c>
      <c r="F142" s="17" t="s">
        <v>321</v>
      </c>
      <c r="G142" s="17" t="s">
        <v>321</v>
      </c>
      <c r="H142" s="17" t="s">
        <v>72</v>
      </c>
      <c r="I142" s="17" t="s">
        <v>105</v>
      </c>
      <c r="J142" s="17" t="s">
        <v>74</v>
      </c>
      <c r="K142" s="17" t="s">
        <v>508</v>
      </c>
    </row>
    <row r="143" customFormat="false" ht="38" hidden="false" customHeight="true" outlineLevel="0" collapsed="false">
      <c r="A143" s="17" t="s">
        <v>511</v>
      </c>
      <c r="B143" s="17" t="s">
        <v>323</v>
      </c>
      <c r="C143" s="17" t="s">
        <v>68</v>
      </c>
      <c r="D143" s="17" t="s">
        <v>41</v>
      </c>
      <c r="E143" s="17" t="s">
        <v>512</v>
      </c>
      <c r="F143" s="17" t="s">
        <v>513</v>
      </c>
      <c r="G143" s="17" t="s">
        <v>513</v>
      </c>
      <c r="H143" s="17" t="s">
        <v>72</v>
      </c>
      <c r="I143" s="17" t="s">
        <v>105</v>
      </c>
      <c r="J143" s="17" t="s">
        <v>74</v>
      </c>
      <c r="K143" s="17" t="s">
        <v>508</v>
      </c>
    </row>
    <row r="144" customFormat="false" ht="38" hidden="false" customHeight="true" outlineLevel="0" collapsed="false">
      <c r="A144" s="17" t="s">
        <v>514</v>
      </c>
      <c r="B144" s="17" t="s">
        <v>327</v>
      </c>
      <c r="C144" s="17" t="s">
        <v>68</v>
      </c>
      <c r="D144" s="17" t="s">
        <v>41</v>
      </c>
      <c r="E144" s="17" t="s">
        <v>515</v>
      </c>
      <c r="F144" s="17" t="s">
        <v>436</v>
      </c>
      <c r="G144" s="17" t="s">
        <v>286</v>
      </c>
      <c r="H144" s="17" t="s">
        <v>72</v>
      </c>
      <c r="I144" s="17" t="s">
        <v>105</v>
      </c>
      <c r="J144" s="17" t="s">
        <v>74</v>
      </c>
      <c r="K144" s="17" t="s">
        <v>516</v>
      </c>
    </row>
    <row r="145" customFormat="false" ht="38" hidden="false" customHeight="true" outlineLevel="0" collapsed="false">
      <c r="A145" s="17" t="s">
        <v>517</v>
      </c>
      <c r="B145" s="17" t="s">
        <v>333</v>
      </c>
      <c r="C145" s="17" t="s">
        <v>68</v>
      </c>
      <c r="D145" s="17" t="s">
        <v>41</v>
      </c>
      <c r="E145" s="17" t="s">
        <v>518</v>
      </c>
      <c r="F145" s="17" t="s">
        <v>335</v>
      </c>
      <c r="G145" s="17" t="s">
        <v>336</v>
      </c>
      <c r="H145" s="17" t="s">
        <v>72</v>
      </c>
      <c r="I145" s="17" t="s">
        <v>105</v>
      </c>
      <c r="J145" s="17" t="s">
        <v>74</v>
      </c>
      <c r="K145" s="17" t="s">
        <v>337</v>
      </c>
    </row>
    <row r="146" customFormat="false" ht="38" hidden="false" customHeight="true" outlineLevel="0" collapsed="false">
      <c r="A146" s="17" t="s">
        <v>519</v>
      </c>
      <c r="B146" s="17" t="s">
        <v>339</v>
      </c>
      <c r="C146" s="17" t="s">
        <v>68</v>
      </c>
      <c r="D146" s="17" t="s">
        <v>41</v>
      </c>
      <c r="E146" s="17" t="s">
        <v>520</v>
      </c>
      <c r="F146" s="17" t="s">
        <v>341</v>
      </c>
      <c r="G146" s="17" t="s">
        <v>508</v>
      </c>
      <c r="H146" s="17" t="s">
        <v>72</v>
      </c>
      <c r="I146" s="17" t="s">
        <v>105</v>
      </c>
      <c r="J146" s="17" t="s">
        <v>74</v>
      </c>
      <c r="K146" s="17" t="s">
        <v>342</v>
      </c>
    </row>
    <row r="147" customFormat="false" ht="38" hidden="false" customHeight="true" outlineLevel="0" collapsed="false">
      <c r="A147" s="17" t="s">
        <v>521</v>
      </c>
      <c r="B147" s="17" t="s">
        <v>344</v>
      </c>
      <c r="C147" s="17" t="s">
        <v>68</v>
      </c>
      <c r="D147" s="17" t="s">
        <v>41</v>
      </c>
      <c r="E147" s="17" t="s">
        <v>522</v>
      </c>
      <c r="F147" s="17" t="s">
        <v>346</v>
      </c>
      <c r="G147" s="17" t="s">
        <v>164</v>
      </c>
      <c r="H147" s="17" t="s">
        <v>72</v>
      </c>
      <c r="I147" s="17" t="s">
        <v>105</v>
      </c>
      <c r="J147" s="17" t="s">
        <v>74</v>
      </c>
      <c r="K147" s="17" t="s">
        <v>347</v>
      </c>
    </row>
    <row r="148" customFormat="false" ht="38" hidden="false" customHeight="true" outlineLevel="0" collapsed="false">
      <c r="A148" s="17" t="s">
        <v>523</v>
      </c>
      <c r="B148" s="17" t="s">
        <v>349</v>
      </c>
      <c r="C148" s="17" t="s">
        <v>68</v>
      </c>
      <c r="D148" s="17" t="s">
        <v>39</v>
      </c>
      <c r="E148" s="17" t="s">
        <v>524</v>
      </c>
      <c r="F148" s="17" t="s">
        <v>351</v>
      </c>
      <c r="G148" s="17" t="s">
        <v>352</v>
      </c>
      <c r="H148" s="17" t="s">
        <v>72</v>
      </c>
      <c r="I148" s="17" t="s">
        <v>73</v>
      </c>
      <c r="J148" s="17" t="s">
        <v>74</v>
      </c>
      <c r="K148" s="17" t="s">
        <v>95</v>
      </c>
    </row>
    <row r="149" customFormat="false" ht="38" hidden="false" customHeight="true" outlineLevel="0" collapsed="false">
      <c r="A149" s="17" t="s">
        <v>525</v>
      </c>
      <c r="B149" s="17" t="s">
        <v>349</v>
      </c>
      <c r="C149" s="17" t="s">
        <v>68</v>
      </c>
      <c r="D149" s="17" t="s">
        <v>39</v>
      </c>
      <c r="E149" s="17" t="s">
        <v>526</v>
      </c>
      <c r="F149" s="17" t="s">
        <v>351</v>
      </c>
      <c r="G149" s="17" t="s">
        <v>358</v>
      </c>
      <c r="H149" s="17" t="s">
        <v>72</v>
      </c>
      <c r="I149" s="17" t="s">
        <v>73</v>
      </c>
      <c r="J149" s="17" t="s">
        <v>74</v>
      </c>
      <c r="K149" s="17" t="s">
        <v>95</v>
      </c>
    </row>
    <row r="150" customFormat="false" ht="38" hidden="false" customHeight="true" outlineLevel="0" collapsed="false">
      <c r="A150" s="17" t="s">
        <v>527</v>
      </c>
      <c r="B150" s="17" t="s">
        <v>349</v>
      </c>
      <c r="C150" s="17" t="s">
        <v>68</v>
      </c>
      <c r="D150" s="17" t="s">
        <v>39</v>
      </c>
      <c r="E150" s="17" t="s">
        <v>528</v>
      </c>
      <c r="F150" s="17" t="s">
        <v>351</v>
      </c>
      <c r="G150" s="17" t="s">
        <v>529</v>
      </c>
      <c r="H150" s="17" t="s">
        <v>72</v>
      </c>
      <c r="I150" s="17" t="s">
        <v>73</v>
      </c>
      <c r="J150" s="17" t="s">
        <v>74</v>
      </c>
      <c r="K150" s="17" t="s">
        <v>95</v>
      </c>
    </row>
    <row r="151" customFormat="false" ht="38" hidden="false" customHeight="true" outlineLevel="0" collapsed="false">
      <c r="A151" s="17" t="s">
        <v>530</v>
      </c>
      <c r="B151" s="17" t="s">
        <v>349</v>
      </c>
      <c r="C151" s="17" t="s">
        <v>68</v>
      </c>
      <c r="D151" s="17" t="s">
        <v>39</v>
      </c>
      <c r="E151" s="17" t="s">
        <v>531</v>
      </c>
      <c r="F151" s="17" t="s">
        <v>351</v>
      </c>
      <c r="G151" s="17" t="s">
        <v>532</v>
      </c>
      <c r="H151" s="17" t="s">
        <v>72</v>
      </c>
      <c r="I151" s="17" t="s">
        <v>73</v>
      </c>
      <c r="J151" s="17" t="s">
        <v>74</v>
      </c>
      <c r="K151" s="17" t="s">
        <v>95</v>
      </c>
    </row>
    <row r="152" customFormat="false" ht="38" hidden="false" customHeight="true" outlineLevel="0" collapsed="false">
      <c r="A152" s="17" t="s">
        <v>533</v>
      </c>
      <c r="B152" s="17" t="s">
        <v>349</v>
      </c>
      <c r="C152" s="17" t="s">
        <v>68</v>
      </c>
      <c r="D152" s="17" t="s">
        <v>39</v>
      </c>
      <c r="E152" s="17" t="s">
        <v>534</v>
      </c>
      <c r="F152" s="17" t="s">
        <v>351</v>
      </c>
      <c r="G152" s="17" t="s">
        <v>535</v>
      </c>
      <c r="H152" s="17" t="s">
        <v>72</v>
      </c>
      <c r="I152" s="17" t="s">
        <v>73</v>
      </c>
      <c r="J152" s="17" t="s">
        <v>74</v>
      </c>
      <c r="K152" s="17" t="s">
        <v>95</v>
      </c>
    </row>
    <row r="153" customFormat="false" ht="38" hidden="false" customHeight="true" outlineLevel="0" collapsed="false">
      <c r="A153" s="17" t="s">
        <v>536</v>
      </c>
      <c r="B153" s="17" t="s">
        <v>349</v>
      </c>
      <c r="C153" s="17" t="s">
        <v>68</v>
      </c>
      <c r="D153" s="17" t="s">
        <v>39</v>
      </c>
      <c r="E153" s="17" t="s">
        <v>537</v>
      </c>
      <c r="F153" s="17" t="s">
        <v>351</v>
      </c>
      <c r="G153" s="17" t="s">
        <v>370</v>
      </c>
      <c r="H153" s="17" t="s">
        <v>72</v>
      </c>
      <c r="I153" s="17" t="s">
        <v>73</v>
      </c>
      <c r="J153" s="17" t="s">
        <v>74</v>
      </c>
      <c r="K153" s="17" t="s">
        <v>95</v>
      </c>
    </row>
    <row r="154" customFormat="false" ht="38" hidden="false" customHeight="true" outlineLevel="0" collapsed="false">
      <c r="A154" s="17" t="s">
        <v>538</v>
      </c>
      <c r="B154" s="17" t="s">
        <v>349</v>
      </c>
      <c r="C154" s="17" t="s">
        <v>68</v>
      </c>
      <c r="D154" s="17" t="s">
        <v>39</v>
      </c>
      <c r="E154" s="17" t="s">
        <v>539</v>
      </c>
      <c r="F154" s="17" t="s">
        <v>351</v>
      </c>
      <c r="G154" s="17" t="s">
        <v>540</v>
      </c>
      <c r="H154" s="17" t="s">
        <v>72</v>
      </c>
      <c r="I154" s="17" t="s">
        <v>73</v>
      </c>
      <c r="J154" s="17" t="s">
        <v>74</v>
      </c>
      <c r="K154" s="17" t="s">
        <v>95</v>
      </c>
    </row>
    <row r="155" customFormat="false" ht="38" hidden="false" customHeight="true" outlineLevel="0" collapsed="false">
      <c r="A155" s="17" t="s">
        <v>541</v>
      </c>
      <c r="B155" s="17" t="s">
        <v>349</v>
      </c>
      <c r="C155" s="17" t="s">
        <v>68</v>
      </c>
      <c r="D155" s="17" t="s">
        <v>39</v>
      </c>
      <c r="E155" s="17" t="s">
        <v>542</v>
      </c>
      <c r="F155" s="17" t="s">
        <v>351</v>
      </c>
      <c r="G155" s="17" t="s">
        <v>543</v>
      </c>
      <c r="H155" s="17" t="s">
        <v>72</v>
      </c>
      <c r="I155" s="17" t="s">
        <v>73</v>
      </c>
      <c r="J155" s="17" t="s">
        <v>74</v>
      </c>
      <c r="K155" s="17" t="s">
        <v>95</v>
      </c>
    </row>
    <row r="156" customFormat="false" ht="38" hidden="false" customHeight="true" outlineLevel="0" collapsed="false">
      <c r="A156" s="17" t="s">
        <v>544</v>
      </c>
      <c r="B156" s="17" t="s">
        <v>349</v>
      </c>
      <c r="C156" s="17" t="s">
        <v>68</v>
      </c>
      <c r="D156" s="17" t="s">
        <v>39</v>
      </c>
      <c r="E156" s="17" t="s">
        <v>545</v>
      </c>
      <c r="F156" s="17" t="s">
        <v>351</v>
      </c>
      <c r="G156" s="17" t="s">
        <v>546</v>
      </c>
      <c r="H156" s="17" t="s">
        <v>72</v>
      </c>
      <c r="I156" s="17" t="s">
        <v>73</v>
      </c>
      <c r="J156" s="17" t="s">
        <v>74</v>
      </c>
      <c r="K156" s="17" t="s">
        <v>95</v>
      </c>
    </row>
    <row r="157" customFormat="false" ht="38" hidden="false" customHeight="true" outlineLevel="0" collapsed="false">
      <c r="A157" s="17" t="s">
        <v>547</v>
      </c>
      <c r="B157" s="17" t="s">
        <v>349</v>
      </c>
      <c r="C157" s="17" t="s">
        <v>68</v>
      </c>
      <c r="D157" s="17" t="s">
        <v>39</v>
      </c>
      <c r="E157" s="17" t="s">
        <v>548</v>
      </c>
      <c r="F157" s="17" t="s">
        <v>351</v>
      </c>
      <c r="G157" s="17" t="s">
        <v>549</v>
      </c>
      <c r="H157" s="17" t="s">
        <v>72</v>
      </c>
      <c r="I157" s="17" t="s">
        <v>73</v>
      </c>
      <c r="J157" s="17" t="s">
        <v>74</v>
      </c>
      <c r="K157" s="17" t="s">
        <v>95</v>
      </c>
    </row>
    <row r="158" customFormat="false" ht="38" hidden="false" customHeight="true" outlineLevel="0" collapsed="false">
      <c r="A158" s="17" t="s">
        <v>550</v>
      </c>
      <c r="B158" s="17" t="s">
        <v>349</v>
      </c>
      <c r="C158" s="17" t="s">
        <v>68</v>
      </c>
      <c r="D158" s="17" t="s">
        <v>39</v>
      </c>
      <c r="E158" s="17" t="s">
        <v>551</v>
      </c>
      <c r="F158" s="17" t="s">
        <v>351</v>
      </c>
      <c r="G158" s="17" t="s">
        <v>316</v>
      </c>
      <c r="H158" s="17" t="s">
        <v>72</v>
      </c>
      <c r="I158" s="17" t="s">
        <v>73</v>
      </c>
      <c r="J158" s="17" t="s">
        <v>74</v>
      </c>
      <c r="K158" s="17" t="s">
        <v>95</v>
      </c>
    </row>
    <row r="159" customFormat="false" ht="38" hidden="false" customHeight="true" outlineLevel="0" collapsed="false">
      <c r="A159" s="17" t="s">
        <v>552</v>
      </c>
      <c r="B159" s="17" t="s">
        <v>349</v>
      </c>
      <c r="C159" s="17" t="s">
        <v>68</v>
      </c>
      <c r="D159" s="17" t="s">
        <v>39</v>
      </c>
      <c r="E159" s="17" t="s">
        <v>553</v>
      </c>
      <c r="F159" s="17" t="s">
        <v>351</v>
      </c>
      <c r="G159" s="17" t="s">
        <v>554</v>
      </c>
      <c r="H159" s="17" t="s">
        <v>72</v>
      </c>
      <c r="I159" s="17" t="s">
        <v>73</v>
      </c>
      <c r="J159" s="17" t="s">
        <v>74</v>
      </c>
      <c r="K159" s="17" t="s">
        <v>95</v>
      </c>
    </row>
    <row r="160" customFormat="false" ht="38" hidden="false" customHeight="true" outlineLevel="0" collapsed="false">
      <c r="A160" s="17" t="s">
        <v>555</v>
      </c>
      <c r="B160" s="17" t="s">
        <v>349</v>
      </c>
      <c r="C160" s="17" t="s">
        <v>68</v>
      </c>
      <c r="D160" s="17" t="s">
        <v>39</v>
      </c>
      <c r="E160" s="17" t="s">
        <v>556</v>
      </c>
      <c r="F160" s="17" t="s">
        <v>351</v>
      </c>
      <c r="G160" s="17" t="s">
        <v>381</v>
      </c>
      <c r="H160" s="17" t="s">
        <v>72</v>
      </c>
      <c r="I160" s="17" t="s">
        <v>73</v>
      </c>
      <c r="J160" s="17" t="s">
        <v>74</v>
      </c>
      <c r="K160" s="17" t="s">
        <v>95</v>
      </c>
    </row>
    <row r="161" customFormat="false" ht="38" hidden="false" customHeight="true" outlineLevel="0" collapsed="false">
      <c r="A161" s="17" t="s">
        <v>557</v>
      </c>
      <c r="B161" s="17" t="s">
        <v>349</v>
      </c>
      <c r="C161" s="17" t="s">
        <v>68</v>
      </c>
      <c r="D161" s="17" t="s">
        <v>39</v>
      </c>
      <c r="E161" s="17" t="s">
        <v>558</v>
      </c>
      <c r="F161" s="17" t="s">
        <v>351</v>
      </c>
      <c r="G161" s="17" t="s">
        <v>387</v>
      </c>
      <c r="H161" s="17" t="s">
        <v>72</v>
      </c>
      <c r="I161" s="17" t="s">
        <v>73</v>
      </c>
      <c r="J161" s="17" t="s">
        <v>74</v>
      </c>
      <c r="K161" s="17" t="s">
        <v>95</v>
      </c>
    </row>
    <row r="162" customFormat="false" ht="38" hidden="false" customHeight="true" outlineLevel="0" collapsed="false">
      <c r="A162" s="17" t="s">
        <v>559</v>
      </c>
      <c r="B162" s="17" t="s">
        <v>349</v>
      </c>
      <c r="C162" s="17" t="s">
        <v>68</v>
      </c>
      <c r="D162" s="17" t="s">
        <v>39</v>
      </c>
      <c r="E162" s="17" t="s">
        <v>560</v>
      </c>
      <c r="F162" s="17" t="s">
        <v>351</v>
      </c>
      <c r="G162" s="17" t="s">
        <v>513</v>
      </c>
      <c r="H162" s="17" t="s">
        <v>72</v>
      </c>
      <c r="I162" s="17" t="s">
        <v>73</v>
      </c>
      <c r="J162" s="17" t="s">
        <v>74</v>
      </c>
      <c r="K162" s="17" t="s">
        <v>95</v>
      </c>
    </row>
    <row r="163" customFormat="false" ht="38" hidden="false" customHeight="true" outlineLevel="0" collapsed="false">
      <c r="A163" s="17" t="s">
        <v>561</v>
      </c>
      <c r="B163" s="17" t="s">
        <v>349</v>
      </c>
      <c r="C163" s="17" t="s">
        <v>68</v>
      </c>
      <c r="D163" s="17" t="s">
        <v>39</v>
      </c>
      <c r="E163" s="17" t="s">
        <v>562</v>
      </c>
      <c r="F163" s="17" t="s">
        <v>351</v>
      </c>
      <c r="G163" s="17" t="s">
        <v>563</v>
      </c>
      <c r="H163" s="17" t="s">
        <v>72</v>
      </c>
      <c r="I163" s="17" t="s">
        <v>73</v>
      </c>
      <c r="J163" s="17" t="s">
        <v>74</v>
      </c>
      <c r="K163" s="17" t="s">
        <v>95</v>
      </c>
    </row>
    <row r="164" customFormat="false" ht="38" hidden="false" customHeight="true" outlineLevel="0" collapsed="false">
      <c r="A164" s="17" t="s">
        <v>564</v>
      </c>
      <c r="B164" s="17" t="s">
        <v>349</v>
      </c>
      <c r="C164" s="17" t="s">
        <v>68</v>
      </c>
      <c r="D164" s="17" t="s">
        <v>39</v>
      </c>
      <c r="E164" s="17" t="s">
        <v>565</v>
      </c>
      <c r="F164" s="17" t="s">
        <v>351</v>
      </c>
      <c r="G164" s="17" t="s">
        <v>566</v>
      </c>
      <c r="H164" s="17" t="s">
        <v>72</v>
      </c>
      <c r="I164" s="17" t="s">
        <v>73</v>
      </c>
      <c r="J164" s="17" t="s">
        <v>74</v>
      </c>
      <c r="K164" s="17" t="s">
        <v>95</v>
      </c>
    </row>
    <row r="165" customFormat="false" ht="38" hidden="false" customHeight="true" outlineLevel="0" collapsed="false">
      <c r="A165" s="17" t="s">
        <v>567</v>
      </c>
      <c r="B165" s="17" t="s">
        <v>349</v>
      </c>
      <c r="C165" s="17" t="s">
        <v>68</v>
      </c>
      <c r="D165" s="17" t="s">
        <v>39</v>
      </c>
      <c r="E165" s="17" t="s">
        <v>568</v>
      </c>
      <c r="F165" s="17" t="s">
        <v>351</v>
      </c>
      <c r="G165" s="17" t="s">
        <v>569</v>
      </c>
      <c r="H165" s="17" t="s">
        <v>72</v>
      </c>
      <c r="I165" s="17" t="s">
        <v>73</v>
      </c>
      <c r="J165" s="17" t="s">
        <v>74</v>
      </c>
      <c r="K165" s="17" t="s">
        <v>95</v>
      </c>
    </row>
    <row r="166" customFormat="false" ht="38" hidden="false" customHeight="true" outlineLevel="0" collapsed="false">
      <c r="A166" s="17" t="s">
        <v>570</v>
      </c>
      <c r="B166" s="17" t="s">
        <v>349</v>
      </c>
      <c r="C166" s="17" t="s">
        <v>68</v>
      </c>
      <c r="D166" s="17" t="s">
        <v>39</v>
      </c>
      <c r="E166" s="17" t="s">
        <v>571</v>
      </c>
      <c r="F166" s="17" t="s">
        <v>351</v>
      </c>
      <c r="G166" s="17" t="s">
        <v>321</v>
      </c>
      <c r="H166" s="17" t="s">
        <v>72</v>
      </c>
      <c r="I166" s="17" t="s">
        <v>73</v>
      </c>
      <c r="J166" s="17" t="s">
        <v>74</v>
      </c>
      <c r="K166" s="17" t="s">
        <v>95</v>
      </c>
    </row>
    <row r="167" customFormat="false" ht="38" hidden="false" customHeight="true" outlineLevel="0" collapsed="false">
      <c r="A167" s="17" t="s">
        <v>572</v>
      </c>
      <c r="B167" s="17" t="s">
        <v>349</v>
      </c>
      <c r="C167" s="17" t="s">
        <v>68</v>
      </c>
      <c r="D167" s="17" t="s">
        <v>39</v>
      </c>
      <c r="E167" s="17" t="s">
        <v>573</v>
      </c>
      <c r="F167" s="17" t="s">
        <v>351</v>
      </c>
      <c r="G167" s="17" t="s">
        <v>392</v>
      </c>
      <c r="H167" s="17" t="s">
        <v>72</v>
      </c>
      <c r="I167" s="17" t="s">
        <v>73</v>
      </c>
      <c r="J167" s="17" t="s">
        <v>74</v>
      </c>
      <c r="K167" s="17" t="s">
        <v>95</v>
      </c>
    </row>
    <row r="168" customFormat="false" ht="38" hidden="false" customHeight="true" outlineLevel="0" collapsed="false">
      <c r="A168" s="17" t="s">
        <v>574</v>
      </c>
      <c r="B168" s="17" t="s">
        <v>349</v>
      </c>
      <c r="C168" s="17" t="s">
        <v>68</v>
      </c>
      <c r="D168" s="17" t="s">
        <v>39</v>
      </c>
      <c r="E168" s="17" t="s">
        <v>575</v>
      </c>
      <c r="F168" s="17" t="s">
        <v>351</v>
      </c>
      <c r="G168" s="17" t="s">
        <v>395</v>
      </c>
      <c r="H168" s="17" t="s">
        <v>72</v>
      </c>
      <c r="I168" s="17" t="s">
        <v>73</v>
      </c>
      <c r="J168" s="17" t="s">
        <v>74</v>
      </c>
      <c r="K168" s="17" t="s">
        <v>95</v>
      </c>
    </row>
    <row r="169" customFormat="false" ht="38" hidden="false" customHeight="true" outlineLevel="0" collapsed="false">
      <c r="A169" s="17" t="s">
        <v>576</v>
      </c>
      <c r="B169" s="17" t="s">
        <v>349</v>
      </c>
      <c r="C169" s="17" t="s">
        <v>68</v>
      </c>
      <c r="D169" s="17" t="s">
        <v>39</v>
      </c>
      <c r="E169" s="17" t="s">
        <v>577</v>
      </c>
      <c r="F169" s="17" t="s">
        <v>351</v>
      </c>
      <c r="G169" s="17" t="s">
        <v>398</v>
      </c>
      <c r="H169" s="17" t="s">
        <v>72</v>
      </c>
      <c r="I169" s="17" t="s">
        <v>73</v>
      </c>
      <c r="J169" s="17" t="s">
        <v>74</v>
      </c>
      <c r="K169" s="17" t="s">
        <v>95</v>
      </c>
    </row>
    <row r="170" customFormat="false" ht="38" hidden="false" customHeight="true" outlineLevel="0" collapsed="false">
      <c r="A170" s="17" t="s">
        <v>578</v>
      </c>
      <c r="B170" s="17" t="s">
        <v>349</v>
      </c>
      <c r="C170" s="17" t="s">
        <v>68</v>
      </c>
      <c r="D170" s="17" t="s">
        <v>39</v>
      </c>
      <c r="E170" s="17" t="s">
        <v>579</v>
      </c>
      <c r="F170" s="17" t="s">
        <v>351</v>
      </c>
      <c r="G170" s="17" t="s">
        <v>325</v>
      </c>
      <c r="H170" s="17" t="s">
        <v>72</v>
      </c>
      <c r="I170" s="17" t="s">
        <v>73</v>
      </c>
      <c r="J170" s="17" t="s">
        <v>74</v>
      </c>
      <c r="K170" s="17" t="s">
        <v>95</v>
      </c>
    </row>
    <row r="171" customFormat="false" ht="38" hidden="false" customHeight="true" outlineLevel="0" collapsed="false">
      <c r="A171" s="17" t="s">
        <v>580</v>
      </c>
      <c r="B171" s="17" t="s">
        <v>264</v>
      </c>
      <c r="C171" s="17" t="s">
        <v>68</v>
      </c>
      <c r="D171" s="17" t="s">
        <v>40</v>
      </c>
      <c r="E171" s="17" t="s">
        <v>581</v>
      </c>
      <c r="F171" s="17" t="s">
        <v>286</v>
      </c>
      <c r="G171" s="17" t="s">
        <v>286</v>
      </c>
      <c r="H171" s="17" t="s">
        <v>72</v>
      </c>
      <c r="I171" s="17" t="s">
        <v>73</v>
      </c>
      <c r="J171" s="17" t="s">
        <v>74</v>
      </c>
      <c r="K171" s="17" t="s">
        <v>99</v>
      </c>
    </row>
    <row r="172" customFormat="false" ht="38" hidden="false" customHeight="true" outlineLevel="0" collapsed="false">
      <c r="A172" s="17" t="s">
        <v>582</v>
      </c>
      <c r="B172" s="17" t="s">
        <v>267</v>
      </c>
      <c r="C172" s="17" t="s">
        <v>68</v>
      </c>
      <c r="D172" s="17" t="s">
        <v>40</v>
      </c>
      <c r="E172" s="17" t="s">
        <v>583</v>
      </c>
      <c r="F172" s="17" t="s">
        <v>269</v>
      </c>
      <c r="G172" s="17" t="s">
        <v>269</v>
      </c>
      <c r="H172" s="17" t="s">
        <v>72</v>
      </c>
      <c r="I172" s="17" t="s">
        <v>105</v>
      </c>
      <c r="J172" s="17" t="s">
        <v>74</v>
      </c>
      <c r="K172" s="17" t="s">
        <v>270</v>
      </c>
    </row>
    <row r="173" customFormat="false" ht="38" hidden="false" customHeight="true" outlineLevel="0" collapsed="false">
      <c r="A173" s="17" t="s">
        <v>584</v>
      </c>
      <c r="B173" s="17" t="s">
        <v>272</v>
      </c>
      <c r="C173" s="17" t="s">
        <v>68</v>
      </c>
      <c r="D173" s="17" t="s">
        <v>40</v>
      </c>
      <c r="E173" s="17" t="s">
        <v>585</v>
      </c>
      <c r="F173" s="17" t="s">
        <v>274</v>
      </c>
      <c r="G173" s="17" t="s">
        <v>274</v>
      </c>
      <c r="H173" s="17" t="s">
        <v>72</v>
      </c>
      <c r="I173" s="17" t="s">
        <v>105</v>
      </c>
      <c r="J173" s="17" t="s">
        <v>74</v>
      </c>
      <c r="K173" s="17" t="s">
        <v>270</v>
      </c>
    </row>
    <row r="174" customFormat="false" ht="38" hidden="false" customHeight="true" outlineLevel="0" collapsed="false">
      <c r="A174" s="17" t="s">
        <v>586</v>
      </c>
      <c r="B174" s="17" t="s">
        <v>276</v>
      </c>
      <c r="C174" s="17" t="s">
        <v>68</v>
      </c>
      <c r="D174" s="17" t="s">
        <v>40</v>
      </c>
      <c r="E174" s="17" t="s">
        <v>587</v>
      </c>
      <c r="F174" s="17" t="s">
        <v>278</v>
      </c>
      <c r="G174" s="17" t="s">
        <v>278</v>
      </c>
      <c r="H174" s="17" t="s">
        <v>72</v>
      </c>
      <c r="I174" s="17" t="s">
        <v>73</v>
      </c>
      <c r="J174" s="17" t="s">
        <v>74</v>
      </c>
      <c r="K174" s="17" t="s">
        <v>279</v>
      </c>
    </row>
    <row r="175" customFormat="false" ht="38" hidden="false" customHeight="true" outlineLevel="0" collapsed="false">
      <c r="A175" s="17" t="s">
        <v>588</v>
      </c>
      <c r="B175" s="17" t="s">
        <v>281</v>
      </c>
      <c r="C175" s="17" t="s">
        <v>68</v>
      </c>
      <c r="D175" s="17" t="s">
        <v>40</v>
      </c>
      <c r="E175" s="17" t="s">
        <v>589</v>
      </c>
      <c r="F175" s="17" t="s">
        <v>175</v>
      </c>
      <c r="G175" s="17" t="s">
        <v>175</v>
      </c>
      <c r="H175" s="17" t="s">
        <v>72</v>
      </c>
      <c r="I175" s="17" t="s">
        <v>73</v>
      </c>
      <c r="J175" s="17" t="s">
        <v>74</v>
      </c>
      <c r="K175" s="17" t="s">
        <v>279</v>
      </c>
    </row>
    <row r="176" customFormat="false" ht="38" hidden="false" customHeight="true" outlineLevel="0" collapsed="false">
      <c r="A176" s="17" t="s">
        <v>590</v>
      </c>
      <c r="B176" s="17" t="s">
        <v>284</v>
      </c>
      <c r="C176" s="17" t="s">
        <v>68</v>
      </c>
      <c r="D176" s="17" t="s">
        <v>40</v>
      </c>
      <c r="E176" s="17" t="s">
        <v>591</v>
      </c>
      <c r="F176" s="17" t="s">
        <v>286</v>
      </c>
      <c r="G176" s="17" t="s">
        <v>286</v>
      </c>
      <c r="H176" s="17" t="s">
        <v>72</v>
      </c>
      <c r="I176" s="17" t="s">
        <v>73</v>
      </c>
      <c r="J176" s="17" t="s">
        <v>74</v>
      </c>
      <c r="K176" s="17" t="s">
        <v>287</v>
      </c>
    </row>
    <row r="177" customFormat="false" ht="38" hidden="false" customHeight="true" outlineLevel="0" collapsed="false">
      <c r="A177" s="17" t="s">
        <v>592</v>
      </c>
      <c r="B177" s="17" t="s">
        <v>289</v>
      </c>
      <c r="C177" s="17" t="s">
        <v>68</v>
      </c>
      <c r="D177" s="17" t="s">
        <v>40</v>
      </c>
      <c r="E177" s="17" t="s">
        <v>593</v>
      </c>
      <c r="F177" s="17" t="s">
        <v>104</v>
      </c>
      <c r="G177" s="17" t="s">
        <v>104</v>
      </c>
      <c r="H177" s="17" t="s">
        <v>72</v>
      </c>
      <c r="I177" s="17" t="s">
        <v>73</v>
      </c>
      <c r="J177" s="17" t="s">
        <v>74</v>
      </c>
      <c r="K177" s="17" t="s">
        <v>291</v>
      </c>
    </row>
    <row r="178" customFormat="false" ht="38" hidden="false" customHeight="true" outlineLevel="0" collapsed="false">
      <c r="A178" s="17" t="s">
        <v>594</v>
      </c>
      <c r="B178" s="17" t="s">
        <v>293</v>
      </c>
      <c r="C178" s="17" t="s">
        <v>68</v>
      </c>
      <c r="D178" s="17" t="s">
        <v>40</v>
      </c>
      <c r="E178" s="17" t="s">
        <v>595</v>
      </c>
      <c r="F178" s="17" t="s">
        <v>104</v>
      </c>
      <c r="G178" s="17" t="s">
        <v>104</v>
      </c>
      <c r="H178" s="17" t="s">
        <v>72</v>
      </c>
      <c r="I178" s="17" t="s">
        <v>105</v>
      </c>
      <c r="J178" s="17" t="s">
        <v>74</v>
      </c>
      <c r="K178" s="17" t="s">
        <v>295</v>
      </c>
    </row>
    <row r="179" customFormat="false" ht="38" hidden="false" customHeight="true" outlineLevel="0" collapsed="false">
      <c r="A179" s="17" t="s">
        <v>596</v>
      </c>
      <c r="B179" s="17" t="s">
        <v>297</v>
      </c>
      <c r="C179" s="17" t="s">
        <v>68</v>
      </c>
      <c r="D179" s="17" t="s">
        <v>40</v>
      </c>
      <c r="E179" s="17" t="s">
        <v>597</v>
      </c>
      <c r="F179" s="17" t="s">
        <v>164</v>
      </c>
      <c r="G179" s="17" t="s">
        <v>164</v>
      </c>
      <c r="H179" s="17" t="s">
        <v>72</v>
      </c>
      <c r="I179" s="17" t="s">
        <v>73</v>
      </c>
      <c r="J179" s="17" t="s">
        <v>74</v>
      </c>
      <c r="K179" s="17" t="s">
        <v>299</v>
      </c>
    </row>
    <row r="180" customFormat="false" ht="38" hidden="false" customHeight="true" outlineLevel="0" collapsed="false">
      <c r="A180" s="17" t="s">
        <v>598</v>
      </c>
      <c r="B180" s="17" t="s">
        <v>301</v>
      </c>
      <c r="C180" s="17" t="s">
        <v>68</v>
      </c>
      <c r="D180" s="17" t="s">
        <v>40</v>
      </c>
      <c r="E180" s="17" t="s">
        <v>599</v>
      </c>
      <c r="F180" s="17" t="s">
        <v>278</v>
      </c>
      <c r="G180" s="17" t="s">
        <v>278</v>
      </c>
      <c r="H180" s="17" t="s">
        <v>72</v>
      </c>
      <c r="I180" s="17" t="s">
        <v>105</v>
      </c>
      <c r="J180" s="17" t="s">
        <v>74</v>
      </c>
      <c r="K180" s="17" t="s">
        <v>303</v>
      </c>
    </row>
    <row r="181" customFormat="false" ht="38" hidden="false" customHeight="true" outlineLevel="0" collapsed="false">
      <c r="A181" s="17" t="s">
        <v>600</v>
      </c>
      <c r="B181" s="17" t="s">
        <v>305</v>
      </c>
      <c r="C181" s="17" t="s">
        <v>68</v>
      </c>
      <c r="D181" s="17" t="s">
        <v>40</v>
      </c>
      <c r="E181" s="17" t="s">
        <v>601</v>
      </c>
      <c r="F181" s="17" t="s">
        <v>286</v>
      </c>
      <c r="G181" s="17" t="s">
        <v>286</v>
      </c>
      <c r="H181" s="17" t="s">
        <v>72</v>
      </c>
      <c r="I181" s="17" t="s">
        <v>73</v>
      </c>
      <c r="J181" s="17" t="s">
        <v>74</v>
      </c>
      <c r="K181" s="17" t="s">
        <v>602</v>
      </c>
    </row>
    <row r="182" customFormat="false" ht="38" hidden="false" customHeight="true" outlineLevel="0" collapsed="false">
      <c r="A182" s="17" t="s">
        <v>603</v>
      </c>
      <c r="B182" s="17" t="s">
        <v>309</v>
      </c>
      <c r="C182" s="17" t="s">
        <v>68</v>
      </c>
      <c r="D182" s="17" t="s">
        <v>40</v>
      </c>
      <c r="E182" s="17" t="s">
        <v>604</v>
      </c>
      <c r="F182" s="17" t="s">
        <v>311</v>
      </c>
      <c r="G182" s="17" t="s">
        <v>311</v>
      </c>
      <c r="H182" s="17" t="s">
        <v>72</v>
      </c>
      <c r="I182" s="17" t="s">
        <v>105</v>
      </c>
      <c r="J182" s="17" t="s">
        <v>74</v>
      </c>
      <c r="K182" s="17" t="s">
        <v>312</v>
      </c>
    </row>
    <row r="183" customFormat="false" ht="38" hidden="false" customHeight="true" outlineLevel="0" collapsed="false">
      <c r="A183" s="17" t="s">
        <v>605</v>
      </c>
      <c r="B183" s="17" t="s">
        <v>314</v>
      </c>
      <c r="C183" s="17" t="s">
        <v>68</v>
      </c>
      <c r="D183" s="17" t="s">
        <v>41</v>
      </c>
      <c r="E183" s="17" t="s">
        <v>606</v>
      </c>
      <c r="F183" s="17" t="s">
        <v>316</v>
      </c>
      <c r="G183" s="17" t="s">
        <v>316</v>
      </c>
      <c r="H183" s="17" t="s">
        <v>72</v>
      </c>
      <c r="I183" s="17" t="s">
        <v>73</v>
      </c>
      <c r="J183" s="17" t="s">
        <v>74</v>
      </c>
      <c r="K183" s="17" t="s">
        <v>607</v>
      </c>
    </row>
    <row r="184" customFormat="false" ht="38" hidden="false" customHeight="true" outlineLevel="0" collapsed="false">
      <c r="A184" s="17" t="s">
        <v>608</v>
      </c>
      <c r="B184" s="17" t="s">
        <v>319</v>
      </c>
      <c r="C184" s="17" t="s">
        <v>68</v>
      </c>
      <c r="D184" s="17" t="s">
        <v>41</v>
      </c>
      <c r="E184" s="17" t="s">
        <v>609</v>
      </c>
      <c r="F184" s="17" t="s">
        <v>321</v>
      </c>
      <c r="G184" s="17" t="s">
        <v>321</v>
      </c>
      <c r="H184" s="17" t="s">
        <v>72</v>
      </c>
      <c r="I184" s="17" t="s">
        <v>105</v>
      </c>
      <c r="J184" s="17" t="s">
        <v>74</v>
      </c>
      <c r="K184" s="17" t="s">
        <v>607</v>
      </c>
    </row>
    <row r="185" customFormat="false" ht="38" hidden="false" customHeight="true" outlineLevel="0" collapsed="false">
      <c r="A185" s="17" t="s">
        <v>610</v>
      </c>
      <c r="B185" s="17" t="s">
        <v>323</v>
      </c>
      <c r="C185" s="17" t="s">
        <v>68</v>
      </c>
      <c r="D185" s="17" t="s">
        <v>41</v>
      </c>
      <c r="E185" s="17" t="s">
        <v>611</v>
      </c>
      <c r="F185" s="17" t="s">
        <v>358</v>
      </c>
      <c r="G185" s="17" t="s">
        <v>358</v>
      </c>
      <c r="H185" s="17" t="s">
        <v>72</v>
      </c>
      <c r="I185" s="17" t="s">
        <v>105</v>
      </c>
      <c r="J185" s="17" t="s">
        <v>74</v>
      </c>
      <c r="K185" s="17" t="s">
        <v>607</v>
      </c>
    </row>
    <row r="186" customFormat="false" ht="38" hidden="false" customHeight="true" outlineLevel="0" collapsed="false">
      <c r="A186" s="17" t="s">
        <v>612</v>
      </c>
      <c r="B186" s="17" t="s">
        <v>327</v>
      </c>
      <c r="C186" s="17" t="s">
        <v>68</v>
      </c>
      <c r="D186" s="17" t="s">
        <v>41</v>
      </c>
      <c r="E186" s="17" t="s">
        <v>613</v>
      </c>
      <c r="F186" s="17" t="s">
        <v>436</v>
      </c>
      <c r="G186" s="17" t="s">
        <v>286</v>
      </c>
      <c r="H186" s="17" t="s">
        <v>72</v>
      </c>
      <c r="I186" s="17" t="s">
        <v>105</v>
      </c>
      <c r="J186" s="17" t="s">
        <v>74</v>
      </c>
      <c r="K186" s="17" t="s">
        <v>614</v>
      </c>
    </row>
    <row r="187" customFormat="false" ht="38" hidden="false" customHeight="true" outlineLevel="0" collapsed="false">
      <c r="A187" s="17" t="s">
        <v>615</v>
      </c>
      <c r="B187" s="17" t="s">
        <v>333</v>
      </c>
      <c r="C187" s="17" t="s">
        <v>68</v>
      </c>
      <c r="D187" s="17" t="s">
        <v>41</v>
      </c>
      <c r="E187" s="17" t="s">
        <v>616</v>
      </c>
      <c r="F187" s="17" t="s">
        <v>335</v>
      </c>
      <c r="G187" s="17" t="s">
        <v>336</v>
      </c>
      <c r="H187" s="17" t="s">
        <v>72</v>
      </c>
      <c r="I187" s="17" t="s">
        <v>105</v>
      </c>
      <c r="J187" s="17" t="s">
        <v>74</v>
      </c>
      <c r="K187" s="17" t="s">
        <v>337</v>
      </c>
    </row>
    <row r="188" customFormat="false" ht="38" hidden="false" customHeight="true" outlineLevel="0" collapsed="false">
      <c r="A188" s="17" t="s">
        <v>617</v>
      </c>
      <c r="B188" s="17" t="s">
        <v>339</v>
      </c>
      <c r="C188" s="17" t="s">
        <v>68</v>
      </c>
      <c r="D188" s="17" t="s">
        <v>41</v>
      </c>
      <c r="E188" s="17" t="s">
        <v>618</v>
      </c>
      <c r="F188" s="17" t="s">
        <v>341</v>
      </c>
      <c r="G188" s="17" t="s">
        <v>607</v>
      </c>
      <c r="H188" s="17" t="s">
        <v>72</v>
      </c>
      <c r="I188" s="17" t="s">
        <v>105</v>
      </c>
      <c r="J188" s="17" t="s">
        <v>74</v>
      </c>
      <c r="K188" s="17" t="s">
        <v>342</v>
      </c>
    </row>
    <row r="189" customFormat="false" ht="38" hidden="false" customHeight="true" outlineLevel="0" collapsed="false">
      <c r="A189" s="17" t="s">
        <v>619</v>
      </c>
      <c r="B189" s="17" t="s">
        <v>344</v>
      </c>
      <c r="C189" s="17" t="s">
        <v>68</v>
      </c>
      <c r="D189" s="17" t="s">
        <v>41</v>
      </c>
      <c r="E189" s="17" t="s">
        <v>620</v>
      </c>
      <c r="F189" s="17" t="s">
        <v>346</v>
      </c>
      <c r="G189" s="17" t="s">
        <v>164</v>
      </c>
      <c r="H189" s="17" t="s">
        <v>72</v>
      </c>
      <c r="I189" s="17" t="s">
        <v>105</v>
      </c>
      <c r="J189" s="17" t="s">
        <v>74</v>
      </c>
      <c r="K189" s="17" t="s">
        <v>347</v>
      </c>
    </row>
    <row r="190" customFormat="false" ht="38" hidden="false" customHeight="true" outlineLevel="0" collapsed="false">
      <c r="A190" s="17" t="s">
        <v>621</v>
      </c>
      <c r="B190" s="17" t="s">
        <v>349</v>
      </c>
      <c r="C190" s="17" t="s">
        <v>68</v>
      </c>
      <c r="D190" s="17" t="s">
        <v>39</v>
      </c>
      <c r="E190" s="17" t="s">
        <v>622</v>
      </c>
      <c r="F190" s="17" t="s">
        <v>351</v>
      </c>
      <c r="G190" s="17" t="s">
        <v>352</v>
      </c>
      <c r="H190" s="17" t="s">
        <v>72</v>
      </c>
      <c r="I190" s="17" t="s">
        <v>73</v>
      </c>
      <c r="J190" s="17" t="s">
        <v>74</v>
      </c>
      <c r="K190" s="17" t="s">
        <v>95</v>
      </c>
    </row>
    <row r="191" customFormat="false" ht="38" hidden="false" customHeight="true" outlineLevel="0" collapsed="false">
      <c r="A191" s="17" t="s">
        <v>623</v>
      </c>
      <c r="B191" s="17" t="s">
        <v>349</v>
      </c>
      <c r="C191" s="17" t="s">
        <v>68</v>
      </c>
      <c r="D191" s="17" t="s">
        <v>39</v>
      </c>
      <c r="E191" s="17" t="s">
        <v>624</v>
      </c>
      <c r="F191" s="17" t="s">
        <v>351</v>
      </c>
      <c r="G191" s="17" t="s">
        <v>355</v>
      </c>
      <c r="H191" s="17" t="s">
        <v>72</v>
      </c>
      <c r="I191" s="17" t="s">
        <v>73</v>
      </c>
      <c r="J191" s="17" t="s">
        <v>74</v>
      </c>
      <c r="K191" s="17" t="s">
        <v>95</v>
      </c>
    </row>
    <row r="192" customFormat="false" ht="38" hidden="false" customHeight="true" outlineLevel="0" collapsed="false">
      <c r="A192" s="17" t="s">
        <v>625</v>
      </c>
      <c r="B192" s="17" t="s">
        <v>349</v>
      </c>
      <c r="C192" s="17" t="s">
        <v>68</v>
      </c>
      <c r="D192" s="17" t="s">
        <v>39</v>
      </c>
      <c r="E192" s="17" t="s">
        <v>626</v>
      </c>
      <c r="F192" s="17" t="s">
        <v>351</v>
      </c>
      <c r="G192" s="17" t="s">
        <v>627</v>
      </c>
      <c r="H192" s="17" t="s">
        <v>72</v>
      </c>
      <c r="I192" s="17" t="s">
        <v>73</v>
      </c>
      <c r="J192" s="17" t="s">
        <v>74</v>
      </c>
      <c r="K192" s="17" t="s">
        <v>95</v>
      </c>
    </row>
    <row r="193" customFormat="false" ht="38" hidden="false" customHeight="true" outlineLevel="0" collapsed="false">
      <c r="A193" s="17" t="s">
        <v>628</v>
      </c>
      <c r="B193" s="17" t="s">
        <v>349</v>
      </c>
      <c r="C193" s="17" t="s">
        <v>68</v>
      </c>
      <c r="D193" s="17" t="s">
        <v>39</v>
      </c>
      <c r="E193" s="17" t="s">
        <v>629</v>
      </c>
      <c r="F193" s="17" t="s">
        <v>351</v>
      </c>
      <c r="G193" s="17" t="s">
        <v>358</v>
      </c>
      <c r="H193" s="17" t="s">
        <v>72</v>
      </c>
      <c r="I193" s="17" t="s">
        <v>73</v>
      </c>
      <c r="J193" s="17" t="s">
        <v>74</v>
      </c>
      <c r="K193" s="17" t="s">
        <v>95</v>
      </c>
    </row>
    <row r="194" customFormat="false" ht="38" hidden="false" customHeight="true" outlineLevel="0" collapsed="false">
      <c r="A194" s="17" t="s">
        <v>630</v>
      </c>
      <c r="B194" s="17" t="s">
        <v>349</v>
      </c>
      <c r="C194" s="17" t="s">
        <v>68</v>
      </c>
      <c r="D194" s="17" t="s">
        <v>39</v>
      </c>
      <c r="E194" s="17" t="s">
        <v>631</v>
      </c>
      <c r="F194" s="17" t="s">
        <v>351</v>
      </c>
      <c r="G194" s="17" t="s">
        <v>453</v>
      </c>
      <c r="H194" s="17" t="s">
        <v>72</v>
      </c>
      <c r="I194" s="17" t="s">
        <v>73</v>
      </c>
      <c r="J194" s="17" t="s">
        <v>74</v>
      </c>
      <c r="K194" s="17" t="s">
        <v>95</v>
      </c>
    </row>
    <row r="195" customFormat="false" ht="38" hidden="false" customHeight="true" outlineLevel="0" collapsed="false">
      <c r="A195" s="17" t="s">
        <v>632</v>
      </c>
      <c r="B195" s="17" t="s">
        <v>349</v>
      </c>
      <c r="C195" s="17" t="s">
        <v>68</v>
      </c>
      <c r="D195" s="17" t="s">
        <v>39</v>
      </c>
      <c r="E195" s="17" t="s">
        <v>633</v>
      </c>
      <c r="F195" s="17" t="s">
        <v>351</v>
      </c>
      <c r="G195" s="17" t="s">
        <v>361</v>
      </c>
      <c r="H195" s="17" t="s">
        <v>72</v>
      </c>
      <c r="I195" s="17" t="s">
        <v>73</v>
      </c>
      <c r="J195" s="17" t="s">
        <v>74</v>
      </c>
      <c r="K195" s="17" t="s">
        <v>95</v>
      </c>
    </row>
    <row r="196" customFormat="false" ht="38" hidden="false" customHeight="true" outlineLevel="0" collapsed="false">
      <c r="A196" s="17" t="s">
        <v>634</v>
      </c>
      <c r="B196" s="17" t="s">
        <v>349</v>
      </c>
      <c r="C196" s="17" t="s">
        <v>68</v>
      </c>
      <c r="D196" s="17" t="s">
        <v>39</v>
      </c>
      <c r="E196" s="17" t="s">
        <v>635</v>
      </c>
      <c r="F196" s="17" t="s">
        <v>351</v>
      </c>
      <c r="G196" s="17" t="s">
        <v>364</v>
      </c>
      <c r="H196" s="17" t="s">
        <v>72</v>
      </c>
      <c r="I196" s="17" t="s">
        <v>73</v>
      </c>
      <c r="J196" s="17" t="s">
        <v>74</v>
      </c>
      <c r="K196" s="17" t="s">
        <v>95</v>
      </c>
    </row>
    <row r="197" customFormat="false" ht="38" hidden="false" customHeight="true" outlineLevel="0" collapsed="false">
      <c r="A197" s="17" t="s">
        <v>636</v>
      </c>
      <c r="B197" s="17" t="s">
        <v>349</v>
      </c>
      <c r="C197" s="17" t="s">
        <v>68</v>
      </c>
      <c r="D197" s="17" t="s">
        <v>39</v>
      </c>
      <c r="E197" s="17" t="s">
        <v>637</v>
      </c>
      <c r="F197" s="17" t="s">
        <v>351</v>
      </c>
      <c r="G197" s="17" t="s">
        <v>367</v>
      </c>
      <c r="H197" s="17" t="s">
        <v>72</v>
      </c>
      <c r="I197" s="17" t="s">
        <v>73</v>
      </c>
      <c r="J197" s="17" t="s">
        <v>74</v>
      </c>
      <c r="K197" s="17" t="s">
        <v>95</v>
      </c>
    </row>
    <row r="198" customFormat="false" ht="38" hidden="false" customHeight="true" outlineLevel="0" collapsed="false">
      <c r="A198" s="17" t="s">
        <v>638</v>
      </c>
      <c r="B198" s="17" t="s">
        <v>349</v>
      </c>
      <c r="C198" s="17" t="s">
        <v>68</v>
      </c>
      <c r="D198" s="17" t="s">
        <v>39</v>
      </c>
      <c r="E198" s="17" t="s">
        <v>639</v>
      </c>
      <c r="F198" s="17" t="s">
        <v>351</v>
      </c>
      <c r="G198" s="17" t="s">
        <v>370</v>
      </c>
      <c r="H198" s="17" t="s">
        <v>72</v>
      </c>
      <c r="I198" s="17" t="s">
        <v>73</v>
      </c>
      <c r="J198" s="17" t="s">
        <v>74</v>
      </c>
      <c r="K198" s="17" t="s">
        <v>95</v>
      </c>
    </row>
    <row r="199" customFormat="false" ht="38" hidden="false" customHeight="true" outlineLevel="0" collapsed="false">
      <c r="A199" s="17" t="s">
        <v>640</v>
      </c>
      <c r="B199" s="17" t="s">
        <v>349</v>
      </c>
      <c r="C199" s="17" t="s">
        <v>68</v>
      </c>
      <c r="D199" s="17" t="s">
        <v>39</v>
      </c>
      <c r="E199" s="17" t="s">
        <v>641</v>
      </c>
      <c r="F199" s="17" t="s">
        <v>351</v>
      </c>
      <c r="G199" s="17" t="s">
        <v>373</v>
      </c>
      <c r="H199" s="17" t="s">
        <v>72</v>
      </c>
      <c r="I199" s="17" t="s">
        <v>73</v>
      </c>
      <c r="J199" s="17" t="s">
        <v>74</v>
      </c>
      <c r="K199" s="17" t="s">
        <v>95</v>
      </c>
    </row>
    <row r="200" customFormat="false" ht="38" hidden="false" customHeight="true" outlineLevel="0" collapsed="false">
      <c r="A200" s="17" t="s">
        <v>642</v>
      </c>
      <c r="B200" s="17" t="s">
        <v>349</v>
      </c>
      <c r="C200" s="17" t="s">
        <v>68</v>
      </c>
      <c r="D200" s="17" t="s">
        <v>39</v>
      </c>
      <c r="E200" s="17" t="s">
        <v>643</v>
      </c>
      <c r="F200" s="17" t="s">
        <v>351</v>
      </c>
      <c r="G200" s="17" t="s">
        <v>316</v>
      </c>
      <c r="H200" s="17" t="s">
        <v>72</v>
      </c>
      <c r="I200" s="17" t="s">
        <v>73</v>
      </c>
      <c r="J200" s="17" t="s">
        <v>74</v>
      </c>
      <c r="K200" s="17" t="s">
        <v>95</v>
      </c>
    </row>
    <row r="201" customFormat="false" ht="38" hidden="false" customHeight="true" outlineLevel="0" collapsed="false">
      <c r="A201" s="17" t="s">
        <v>644</v>
      </c>
      <c r="B201" s="17" t="s">
        <v>349</v>
      </c>
      <c r="C201" s="17" t="s">
        <v>68</v>
      </c>
      <c r="D201" s="17" t="s">
        <v>39</v>
      </c>
      <c r="E201" s="17" t="s">
        <v>645</v>
      </c>
      <c r="F201" s="17" t="s">
        <v>351</v>
      </c>
      <c r="G201" s="17" t="s">
        <v>378</v>
      </c>
      <c r="H201" s="17" t="s">
        <v>72</v>
      </c>
      <c r="I201" s="17" t="s">
        <v>73</v>
      </c>
      <c r="J201" s="17" t="s">
        <v>74</v>
      </c>
      <c r="K201" s="17" t="s">
        <v>95</v>
      </c>
    </row>
    <row r="202" customFormat="false" ht="38" hidden="false" customHeight="true" outlineLevel="0" collapsed="false">
      <c r="A202" s="17" t="s">
        <v>646</v>
      </c>
      <c r="B202" s="17" t="s">
        <v>349</v>
      </c>
      <c r="C202" s="17" t="s">
        <v>68</v>
      </c>
      <c r="D202" s="17" t="s">
        <v>39</v>
      </c>
      <c r="E202" s="17" t="s">
        <v>647</v>
      </c>
      <c r="F202" s="17" t="s">
        <v>351</v>
      </c>
      <c r="G202" s="17" t="s">
        <v>648</v>
      </c>
      <c r="H202" s="17" t="s">
        <v>72</v>
      </c>
      <c r="I202" s="17" t="s">
        <v>73</v>
      </c>
      <c r="J202" s="17" t="s">
        <v>74</v>
      </c>
      <c r="K202" s="17" t="s">
        <v>95</v>
      </c>
    </row>
    <row r="203" customFormat="false" ht="38" hidden="false" customHeight="true" outlineLevel="0" collapsed="false">
      <c r="A203" s="17" t="s">
        <v>649</v>
      </c>
      <c r="B203" s="17" t="s">
        <v>349</v>
      </c>
      <c r="C203" s="17" t="s">
        <v>68</v>
      </c>
      <c r="D203" s="17" t="s">
        <v>39</v>
      </c>
      <c r="E203" s="17" t="s">
        <v>650</v>
      </c>
      <c r="F203" s="17" t="s">
        <v>351</v>
      </c>
      <c r="G203" s="17" t="s">
        <v>381</v>
      </c>
      <c r="H203" s="17" t="s">
        <v>72</v>
      </c>
      <c r="I203" s="17" t="s">
        <v>73</v>
      </c>
      <c r="J203" s="17" t="s">
        <v>74</v>
      </c>
      <c r="K203" s="17" t="s">
        <v>95</v>
      </c>
    </row>
    <row r="204" customFormat="false" ht="38" hidden="false" customHeight="true" outlineLevel="0" collapsed="false">
      <c r="A204" s="17" t="s">
        <v>651</v>
      </c>
      <c r="B204" s="17" t="s">
        <v>349</v>
      </c>
      <c r="C204" s="17" t="s">
        <v>68</v>
      </c>
      <c r="D204" s="17" t="s">
        <v>39</v>
      </c>
      <c r="E204" s="17" t="s">
        <v>652</v>
      </c>
      <c r="F204" s="17" t="s">
        <v>351</v>
      </c>
      <c r="G204" s="17" t="s">
        <v>653</v>
      </c>
      <c r="H204" s="17" t="s">
        <v>72</v>
      </c>
      <c r="I204" s="17" t="s">
        <v>73</v>
      </c>
      <c r="J204" s="17" t="s">
        <v>74</v>
      </c>
      <c r="K204" s="17" t="s">
        <v>95</v>
      </c>
    </row>
    <row r="205" customFormat="false" ht="38" hidden="false" customHeight="true" outlineLevel="0" collapsed="false">
      <c r="A205" s="17" t="s">
        <v>654</v>
      </c>
      <c r="B205" s="17" t="s">
        <v>349</v>
      </c>
      <c r="C205" s="17" t="s">
        <v>68</v>
      </c>
      <c r="D205" s="17" t="s">
        <v>39</v>
      </c>
      <c r="E205" s="17" t="s">
        <v>655</v>
      </c>
      <c r="F205" s="17" t="s">
        <v>351</v>
      </c>
      <c r="G205" s="17" t="s">
        <v>387</v>
      </c>
      <c r="H205" s="17" t="s">
        <v>72</v>
      </c>
      <c r="I205" s="17" t="s">
        <v>73</v>
      </c>
      <c r="J205" s="17" t="s">
        <v>74</v>
      </c>
      <c r="K205" s="17" t="s">
        <v>95</v>
      </c>
    </row>
    <row r="206" customFormat="false" ht="38" hidden="false" customHeight="true" outlineLevel="0" collapsed="false">
      <c r="A206" s="17" t="s">
        <v>656</v>
      </c>
      <c r="B206" s="17" t="s">
        <v>349</v>
      </c>
      <c r="C206" s="17" t="s">
        <v>68</v>
      </c>
      <c r="D206" s="17" t="s">
        <v>39</v>
      </c>
      <c r="E206" s="17" t="s">
        <v>657</v>
      </c>
      <c r="F206" s="17" t="s">
        <v>351</v>
      </c>
      <c r="G206" s="17" t="s">
        <v>513</v>
      </c>
      <c r="H206" s="17" t="s">
        <v>72</v>
      </c>
      <c r="I206" s="17" t="s">
        <v>73</v>
      </c>
      <c r="J206" s="17" t="s">
        <v>74</v>
      </c>
      <c r="K206" s="17" t="s">
        <v>95</v>
      </c>
    </row>
    <row r="207" customFormat="false" ht="38" hidden="false" customHeight="true" outlineLevel="0" collapsed="false">
      <c r="A207" s="17" t="s">
        <v>658</v>
      </c>
      <c r="B207" s="17" t="s">
        <v>349</v>
      </c>
      <c r="C207" s="17" t="s">
        <v>68</v>
      </c>
      <c r="D207" s="17" t="s">
        <v>39</v>
      </c>
      <c r="E207" s="17" t="s">
        <v>659</v>
      </c>
      <c r="F207" s="17" t="s">
        <v>351</v>
      </c>
      <c r="G207" s="17" t="s">
        <v>321</v>
      </c>
      <c r="H207" s="17" t="s">
        <v>72</v>
      </c>
      <c r="I207" s="17" t="s">
        <v>73</v>
      </c>
      <c r="J207" s="17" t="s">
        <v>74</v>
      </c>
      <c r="K207" s="17" t="s">
        <v>95</v>
      </c>
    </row>
    <row r="208" customFormat="false" ht="38" hidden="false" customHeight="true" outlineLevel="0" collapsed="false">
      <c r="A208" s="17" t="s">
        <v>660</v>
      </c>
      <c r="B208" s="17" t="s">
        <v>349</v>
      </c>
      <c r="C208" s="17" t="s">
        <v>68</v>
      </c>
      <c r="D208" s="17" t="s">
        <v>39</v>
      </c>
      <c r="E208" s="17" t="s">
        <v>661</v>
      </c>
      <c r="F208" s="17" t="s">
        <v>351</v>
      </c>
      <c r="G208" s="17" t="s">
        <v>392</v>
      </c>
      <c r="H208" s="17" t="s">
        <v>72</v>
      </c>
      <c r="I208" s="17" t="s">
        <v>73</v>
      </c>
      <c r="J208" s="17" t="s">
        <v>74</v>
      </c>
      <c r="K208" s="17" t="s">
        <v>95</v>
      </c>
    </row>
    <row r="209" customFormat="false" ht="38" hidden="false" customHeight="true" outlineLevel="0" collapsed="false">
      <c r="A209" s="17" t="s">
        <v>662</v>
      </c>
      <c r="B209" s="17" t="s">
        <v>349</v>
      </c>
      <c r="C209" s="17" t="s">
        <v>68</v>
      </c>
      <c r="D209" s="17" t="s">
        <v>39</v>
      </c>
      <c r="E209" s="17" t="s">
        <v>663</v>
      </c>
      <c r="F209" s="17" t="s">
        <v>351</v>
      </c>
      <c r="G209" s="17" t="s">
        <v>395</v>
      </c>
      <c r="H209" s="17" t="s">
        <v>72</v>
      </c>
      <c r="I209" s="17" t="s">
        <v>73</v>
      </c>
      <c r="J209" s="17" t="s">
        <v>74</v>
      </c>
      <c r="K209" s="17" t="s">
        <v>95</v>
      </c>
    </row>
    <row r="210" customFormat="false" ht="38" hidden="false" customHeight="true" outlineLevel="0" collapsed="false">
      <c r="A210" s="17" t="s">
        <v>664</v>
      </c>
      <c r="B210" s="17" t="s">
        <v>349</v>
      </c>
      <c r="C210" s="17" t="s">
        <v>68</v>
      </c>
      <c r="D210" s="17" t="s">
        <v>39</v>
      </c>
      <c r="E210" s="17" t="s">
        <v>665</v>
      </c>
      <c r="F210" s="17" t="s">
        <v>351</v>
      </c>
      <c r="G210" s="17" t="s">
        <v>325</v>
      </c>
      <c r="H210" s="17" t="s">
        <v>72</v>
      </c>
      <c r="I210" s="17" t="s">
        <v>73</v>
      </c>
      <c r="J210" s="17" t="s">
        <v>74</v>
      </c>
      <c r="K210" s="17" t="s">
        <v>95</v>
      </c>
    </row>
    <row r="211" customFormat="false" ht="38" hidden="false" customHeight="true" outlineLevel="0" collapsed="false">
      <c r="A211" s="17" t="s">
        <v>666</v>
      </c>
      <c r="B211" s="17" t="s">
        <v>264</v>
      </c>
      <c r="C211" s="17" t="s">
        <v>68</v>
      </c>
      <c r="D211" s="17" t="s">
        <v>40</v>
      </c>
      <c r="E211" s="17" t="s">
        <v>667</v>
      </c>
      <c r="F211" s="17" t="s">
        <v>130</v>
      </c>
      <c r="G211" s="17" t="s">
        <v>130</v>
      </c>
      <c r="H211" s="17" t="s">
        <v>72</v>
      </c>
      <c r="I211" s="17" t="s">
        <v>73</v>
      </c>
      <c r="J211" s="17" t="s">
        <v>74</v>
      </c>
      <c r="K211" s="17" t="s">
        <v>99</v>
      </c>
    </row>
    <row r="212" customFormat="false" ht="38" hidden="false" customHeight="true" outlineLevel="0" collapsed="false">
      <c r="A212" s="17" t="s">
        <v>668</v>
      </c>
      <c r="B212" s="17" t="s">
        <v>267</v>
      </c>
      <c r="C212" s="17" t="s">
        <v>68</v>
      </c>
      <c r="D212" s="17" t="s">
        <v>40</v>
      </c>
      <c r="E212" s="17" t="s">
        <v>669</v>
      </c>
      <c r="F212" s="17" t="s">
        <v>269</v>
      </c>
      <c r="G212" s="17" t="s">
        <v>269</v>
      </c>
      <c r="H212" s="17" t="s">
        <v>72</v>
      </c>
      <c r="I212" s="17" t="s">
        <v>105</v>
      </c>
      <c r="J212" s="17" t="s">
        <v>74</v>
      </c>
      <c r="K212" s="17" t="s">
        <v>270</v>
      </c>
    </row>
    <row r="213" customFormat="false" ht="38" hidden="false" customHeight="true" outlineLevel="0" collapsed="false">
      <c r="A213" s="17" t="s">
        <v>670</v>
      </c>
      <c r="B213" s="17" t="s">
        <v>272</v>
      </c>
      <c r="C213" s="17" t="s">
        <v>68</v>
      </c>
      <c r="D213" s="17" t="s">
        <v>40</v>
      </c>
      <c r="E213" s="17" t="s">
        <v>671</v>
      </c>
      <c r="F213" s="17" t="s">
        <v>672</v>
      </c>
      <c r="G213" s="17" t="s">
        <v>672</v>
      </c>
      <c r="H213" s="17" t="s">
        <v>72</v>
      </c>
      <c r="I213" s="17" t="s">
        <v>105</v>
      </c>
      <c r="J213" s="17" t="s">
        <v>74</v>
      </c>
      <c r="K213" s="17" t="s">
        <v>270</v>
      </c>
    </row>
    <row r="214" customFormat="false" ht="38" hidden="false" customHeight="true" outlineLevel="0" collapsed="false">
      <c r="A214" s="17" t="s">
        <v>673</v>
      </c>
      <c r="B214" s="17" t="s">
        <v>276</v>
      </c>
      <c r="C214" s="17" t="s">
        <v>68</v>
      </c>
      <c r="D214" s="17" t="s">
        <v>40</v>
      </c>
      <c r="E214" s="17" t="s">
        <v>674</v>
      </c>
      <c r="F214" s="17" t="s">
        <v>675</v>
      </c>
      <c r="G214" s="17" t="s">
        <v>675</v>
      </c>
      <c r="H214" s="17" t="s">
        <v>72</v>
      </c>
      <c r="I214" s="17" t="s">
        <v>73</v>
      </c>
      <c r="J214" s="17" t="s">
        <v>74</v>
      </c>
      <c r="K214" s="17" t="s">
        <v>279</v>
      </c>
    </row>
    <row r="215" customFormat="false" ht="38" hidden="false" customHeight="true" outlineLevel="0" collapsed="false">
      <c r="A215" s="17" t="s">
        <v>676</v>
      </c>
      <c r="B215" s="17" t="s">
        <v>281</v>
      </c>
      <c r="C215" s="17" t="s">
        <v>68</v>
      </c>
      <c r="D215" s="17" t="s">
        <v>40</v>
      </c>
      <c r="E215" s="17" t="s">
        <v>677</v>
      </c>
      <c r="F215" s="17" t="s">
        <v>175</v>
      </c>
      <c r="G215" s="17" t="s">
        <v>175</v>
      </c>
      <c r="H215" s="17" t="s">
        <v>72</v>
      </c>
      <c r="I215" s="17" t="s">
        <v>73</v>
      </c>
      <c r="J215" s="17" t="s">
        <v>74</v>
      </c>
      <c r="K215" s="17" t="s">
        <v>279</v>
      </c>
    </row>
    <row r="216" customFormat="false" ht="38" hidden="false" customHeight="true" outlineLevel="0" collapsed="false">
      <c r="A216" s="17" t="s">
        <v>678</v>
      </c>
      <c r="B216" s="17" t="s">
        <v>284</v>
      </c>
      <c r="C216" s="17" t="s">
        <v>68</v>
      </c>
      <c r="D216" s="17" t="s">
        <v>40</v>
      </c>
      <c r="E216" s="17" t="s">
        <v>679</v>
      </c>
      <c r="F216" s="17" t="s">
        <v>175</v>
      </c>
      <c r="G216" s="17" t="s">
        <v>175</v>
      </c>
      <c r="H216" s="17" t="s">
        <v>72</v>
      </c>
      <c r="I216" s="17" t="s">
        <v>73</v>
      </c>
      <c r="J216" s="17" t="s">
        <v>74</v>
      </c>
      <c r="K216" s="17" t="s">
        <v>287</v>
      </c>
    </row>
    <row r="217" customFormat="false" ht="38" hidden="false" customHeight="true" outlineLevel="0" collapsed="false">
      <c r="A217" s="17" t="s">
        <v>680</v>
      </c>
      <c r="B217" s="17" t="s">
        <v>289</v>
      </c>
      <c r="C217" s="17" t="s">
        <v>68</v>
      </c>
      <c r="D217" s="17" t="s">
        <v>40</v>
      </c>
      <c r="E217" s="17" t="s">
        <v>681</v>
      </c>
      <c r="F217" s="17" t="s">
        <v>104</v>
      </c>
      <c r="G217" s="17" t="s">
        <v>104</v>
      </c>
      <c r="H217" s="17" t="s">
        <v>72</v>
      </c>
      <c r="I217" s="17" t="s">
        <v>73</v>
      </c>
      <c r="J217" s="17" t="s">
        <v>74</v>
      </c>
      <c r="K217" s="17" t="s">
        <v>291</v>
      </c>
    </row>
    <row r="218" customFormat="false" ht="38" hidden="false" customHeight="true" outlineLevel="0" collapsed="false">
      <c r="A218" s="17" t="s">
        <v>682</v>
      </c>
      <c r="B218" s="17" t="s">
        <v>293</v>
      </c>
      <c r="C218" s="17" t="s">
        <v>68</v>
      </c>
      <c r="D218" s="17" t="s">
        <v>40</v>
      </c>
      <c r="E218" s="17" t="s">
        <v>683</v>
      </c>
      <c r="F218" s="17" t="s">
        <v>104</v>
      </c>
      <c r="G218" s="17" t="s">
        <v>104</v>
      </c>
      <c r="H218" s="17" t="s">
        <v>72</v>
      </c>
      <c r="I218" s="17" t="s">
        <v>105</v>
      </c>
      <c r="J218" s="17" t="s">
        <v>74</v>
      </c>
      <c r="K218" s="17" t="s">
        <v>295</v>
      </c>
    </row>
    <row r="219" customFormat="false" ht="38" hidden="false" customHeight="true" outlineLevel="0" collapsed="false">
      <c r="A219" s="17" t="s">
        <v>684</v>
      </c>
      <c r="B219" s="17" t="s">
        <v>297</v>
      </c>
      <c r="C219" s="17" t="s">
        <v>68</v>
      </c>
      <c r="D219" s="17" t="s">
        <v>40</v>
      </c>
      <c r="E219" s="17" t="s">
        <v>685</v>
      </c>
      <c r="F219" s="17" t="s">
        <v>164</v>
      </c>
      <c r="G219" s="17" t="s">
        <v>164</v>
      </c>
      <c r="H219" s="17" t="s">
        <v>72</v>
      </c>
      <c r="I219" s="17" t="s">
        <v>73</v>
      </c>
      <c r="J219" s="17" t="s">
        <v>74</v>
      </c>
      <c r="K219" s="17" t="s">
        <v>299</v>
      </c>
    </row>
    <row r="220" customFormat="false" ht="38" hidden="false" customHeight="true" outlineLevel="0" collapsed="false">
      <c r="A220" s="17" t="s">
        <v>686</v>
      </c>
      <c r="B220" s="17" t="s">
        <v>301</v>
      </c>
      <c r="C220" s="17" t="s">
        <v>68</v>
      </c>
      <c r="D220" s="17" t="s">
        <v>40</v>
      </c>
      <c r="E220" s="17" t="s">
        <v>687</v>
      </c>
      <c r="F220" s="17" t="s">
        <v>675</v>
      </c>
      <c r="G220" s="17" t="s">
        <v>675</v>
      </c>
      <c r="H220" s="17" t="s">
        <v>72</v>
      </c>
      <c r="I220" s="17" t="s">
        <v>105</v>
      </c>
      <c r="J220" s="17" t="s">
        <v>74</v>
      </c>
      <c r="K220" s="17" t="s">
        <v>303</v>
      </c>
    </row>
    <row r="221" customFormat="false" ht="38" hidden="false" customHeight="true" outlineLevel="0" collapsed="false">
      <c r="A221" s="17" t="s">
        <v>688</v>
      </c>
      <c r="B221" s="17" t="s">
        <v>305</v>
      </c>
      <c r="C221" s="17" t="s">
        <v>68</v>
      </c>
      <c r="D221" s="17" t="s">
        <v>40</v>
      </c>
      <c r="E221" s="17" t="s">
        <v>689</v>
      </c>
      <c r="F221" s="17" t="s">
        <v>175</v>
      </c>
      <c r="G221" s="17" t="s">
        <v>175</v>
      </c>
      <c r="H221" s="17" t="s">
        <v>72</v>
      </c>
      <c r="I221" s="17" t="s">
        <v>73</v>
      </c>
      <c r="J221" s="17" t="s">
        <v>74</v>
      </c>
      <c r="K221" s="17" t="s">
        <v>690</v>
      </c>
    </row>
    <row r="222" customFormat="false" ht="38" hidden="false" customHeight="true" outlineLevel="0" collapsed="false">
      <c r="A222" s="17" t="s">
        <v>691</v>
      </c>
      <c r="B222" s="17" t="s">
        <v>309</v>
      </c>
      <c r="C222" s="17" t="s">
        <v>68</v>
      </c>
      <c r="D222" s="17" t="s">
        <v>40</v>
      </c>
      <c r="E222" s="17" t="s">
        <v>692</v>
      </c>
      <c r="F222" s="17" t="s">
        <v>693</v>
      </c>
      <c r="G222" s="17" t="s">
        <v>693</v>
      </c>
      <c r="H222" s="17" t="s">
        <v>72</v>
      </c>
      <c r="I222" s="17" t="s">
        <v>105</v>
      </c>
      <c r="J222" s="17" t="s">
        <v>74</v>
      </c>
      <c r="K222" s="17" t="s">
        <v>312</v>
      </c>
    </row>
    <row r="223" customFormat="false" ht="38" hidden="false" customHeight="true" outlineLevel="0" collapsed="false">
      <c r="A223" s="17" t="s">
        <v>694</v>
      </c>
      <c r="B223" s="17" t="s">
        <v>314</v>
      </c>
      <c r="C223" s="17" t="s">
        <v>68</v>
      </c>
      <c r="D223" s="17" t="s">
        <v>41</v>
      </c>
      <c r="E223" s="17" t="s">
        <v>695</v>
      </c>
      <c r="F223" s="17" t="s">
        <v>316</v>
      </c>
      <c r="G223" s="17" t="s">
        <v>316</v>
      </c>
      <c r="H223" s="17" t="s">
        <v>72</v>
      </c>
      <c r="I223" s="17" t="s">
        <v>73</v>
      </c>
      <c r="J223" s="17" t="s">
        <v>74</v>
      </c>
      <c r="K223" s="17" t="s">
        <v>696</v>
      </c>
    </row>
    <row r="224" customFormat="false" ht="38" hidden="false" customHeight="true" outlineLevel="0" collapsed="false">
      <c r="A224" s="17" t="s">
        <v>697</v>
      </c>
      <c r="B224" s="17" t="s">
        <v>319</v>
      </c>
      <c r="C224" s="17" t="s">
        <v>68</v>
      </c>
      <c r="D224" s="17" t="s">
        <v>41</v>
      </c>
      <c r="E224" s="17" t="s">
        <v>698</v>
      </c>
      <c r="F224" s="17" t="s">
        <v>321</v>
      </c>
      <c r="G224" s="17" t="s">
        <v>321</v>
      </c>
      <c r="H224" s="17" t="s">
        <v>72</v>
      </c>
      <c r="I224" s="17" t="s">
        <v>105</v>
      </c>
      <c r="J224" s="17" t="s">
        <v>74</v>
      </c>
      <c r="K224" s="17" t="s">
        <v>696</v>
      </c>
    </row>
    <row r="225" customFormat="false" ht="38" hidden="false" customHeight="true" outlineLevel="0" collapsed="false">
      <c r="A225" s="17" t="s">
        <v>699</v>
      </c>
      <c r="B225" s="17" t="s">
        <v>323</v>
      </c>
      <c r="C225" s="17" t="s">
        <v>68</v>
      </c>
      <c r="D225" s="17" t="s">
        <v>41</v>
      </c>
      <c r="E225" s="17" t="s">
        <v>700</v>
      </c>
      <c r="F225" s="17" t="s">
        <v>358</v>
      </c>
      <c r="G225" s="17" t="s">
        <v>358</v>
      </c>
      <c r="H225" s="17" t="s">
        <v>72</v>
      </c>
      <c r="I225" s="17" t="s">
        <v>105</v>
      </c>
      <c r="J225" s="17" t="s">
        <v>74</v>
      </c>
      <c r="K225" s="17" t="s">
        <v>696</v>
      </c>
    </row>
    <row r="226" customFormat="false" ht="38" hidden="false" customHeight="true" outlineLevel="0" collapsed="false">
      <c r="A226" s="17" t="s">
        <v>701</v>
      </c>
      <c r="B226" s="17" t="s">
        <v>327</v>
      </c>
      <c r="C226" s="17" t="s">
        <v>68</v>
      </c>
      <c r="D226" s="17" t="s">
        <v>41</v>
      </c>
      <c r="E226" s="17" t="s">
        <v>702</v>
      </c>
      <c r="F226" s="17" t="s">
        <v>436</v>
      </c>
      <c r="G226" s="17" t="s">
        <v>286</v>
      </c>
      <c r="H226" s="17" t="s">
        <v>72</v>
      </c>
      <c r="I226" s="17" t="s">
        <v>105</v>
      </c>
      <c r="J226" s="17" t="s">
        <v>74</v>
      </c>
      <c r="K226" s="17" t="s">
        <v>703</v>
      </c>
    </row>
    <row r="227" customFormat="false" ht="38" hidden="false" customHeight="true" outlineLevel="0" collapsed="false">
      <c r="A227" s="17" t="s">
        <v>704</v>
      </c>
      <c r="B227" s="17" t="s">
        <v>333</v>
      </c>
      <c r="C227" s="17" t="s">
        <v>68</v>
      </c>
      <c r="D227" s="17" t="s">
        <v>41</v>
      </c>
      <c r="E227" s="17" t="s">
        <v>705</v>
      </c>
      <c r="F227" s="17" t="s">
        <v>706</v>
      </c>
      <c r="G227" s="17" t="s">
        <v>707</v>
      </c>
      <c r="H227" s="17" t="s">
        <v>72</v>
      </c>
      <c r="I227" s="17" t="s">
        <v>105</v>
      </c>
      <c r="J227" s="17" t="s">
        <v>74</v>
      </c>
      <c r="K227" s="17" t="s">
        <v>337</v>
      </c>
    </row>
    <row r="228" customFormat="false" ht="38" hidden="false" customHeight="true" outlineLevel="0" collapsed="false">
      <c r="A228" s="17" t="s">
        <v>708</v>
      </c>
      <c r="B228" s="17" t="s">
        <v>339</v>
      </c>
      <c r="C228" s="17" t="s">
        <v>68</v>
      </c>
      <c r="D228" s="17" t="s">
        <v>41</v>
      </c>
      <c r="E228" s="17" t="s">
        <v>709</v>
      </c>
      <c r="F228" s="17" t="s">
        <v>341</v>
      </c>
      <c r="G228" s="17" t="s">
        <v>696</v>
      </c>
      <c r="H228" s="17" t="s">
        <v>72</v>
      </c>
      <c r="I228" s="17" t="s">
        <v>105</v>
      </c>
      <c r="J228" s="17" t="s">
        <v>74</v>
      </c>
      <c r="K228" s="17" t="s">
        <v>342</v>
      </c>
    </row>
    <row r="229" customFormat="false" ht="38" hidden="false" customHeight="true" outlineLevel="0" collapsed="false">
      <c r="A229" s="17" t="s">
        <v>710</v>
      </c>
      <c r="B229" s="17" t="s">
        <v>344</v>
      </c>
      <c r="C229" s="17" t="s">
        <v>68</v>
      </c>
      <c r="D229" s="17" t="s">
        <v>41</v>
      </c>
      <c r="E229" s="17" t="s">
        <v>711</v>
      </c>
      <c r="F229" s="17" t="s">
        <v>346</v>
      </c>
      <c r="G229" s="17" t="s">
        <v>164</v>
      </c>
      <c r="H229" s="17" t="s">
        <v>72</v>
      </c>
      <c r="I229" s="17" t="s">
        <v>105</v>
      </c>
      <c r="J229" s="17" t="s">
        <v>74</v>
      </c>
      <c r="K229" s="17" t="s">
        <v>347</v>
      </c>
    </row>
    <row r="230" customFormat="false" ht="38" hidden="false" customHeight="true" outlineLevel="0" collapsed="false">
      <c r="A230" s="17" t="s">
        <v>712</v>
      </c>
      <c r="B230" s="17" t="s">
        <v>349</v>
      </c>
      <c r="C230" s="17" t="s">
        <v>68</v>
      </c>
      <c r="D230" s="17" t="s">
        <v>39</v>
      </c>
      <c r="E230" s="17" t="s">
        <v>713</v>
      </c>
      <c r="F230" s="17" t="s">
        <v>351</v>
      </c>
      <c r="G230" s="17" t="s">
        <v>352</v>
      </c>
      <c r="H230" s="17" t="s">
        <v>72</v>
      </c>
      <c r="I230" s="17" t="s">
        <v>73</v>
      </c>
      <c r="J230" s="17" t="s">
        <v>74</v>
      </c>
      <c r="K230" s="17" t="s">
        <v>95</v>
      </c>
    </row>
    <row r="231" customFormat="false" ht="38" hidden="false" customHeight="true" outlineLevel="0" collapsed="false">
      <c r="A231" s="17" t="s">
        <v>714</v>
      </c>
      <c r="B231" s="17" t="s">
        <v>349</v>
      </c>
      <c r="C231" s="17" t="s">
        <v>68</v>
      </c>
      <c r="D231" s="17" t="s">
        <v>39</v>
      </c>
      <c r="E231" s="17" t="s">
        <v>715</v>
      </c>
      <c r="F231" s="17" t="s">
        <v>351</v>
      </c>
      <c r="G231" s="17" t="s">
        <v>355</v>
      </c>
      <c r="H231" s="17" t="s">
        <v>72</v>
      </c>
      <c r="I231" s="17" t="s">
        <v>73</v>
      </c>
      <c r="J231" s="17" t="s">
        <v>74</v>
      </c>
      <c r="K231" s="17" t="s">
        <v>95</v>
      </c>
    </row>
    <row r="232" customFormat="false" ht="38" hidden="false" customHeight="true" outlineLevel="0" collapsed="false">
      <c r="A232" s="17" t="s">
        <v>716</v>
      </c>
      <c r="B232" s="17" t="s">
        <v>349</v>
      </c>
      <c r="C232" s="17" t="s">
        <v>68</v>
      </c>
      <c r="D232" s="17" t="s">
        <v>39</v>
      </c>
      <c r="E232" s="17" t="s">
        <v>717</v>
      </c>
      <c r="F232" s="17" t="s">
        <v>351</v>
      </c>
      <c r="G232" s="17" t="s">
        <v>358</v>
      </c>
      <c r="H232" s="17" t="s">
        <v>72</v>
      </c>
      <c r="I232" s="17" t="s">
        <v>73</v>
      </c>
      <c r="J232" s="17" t="s">
        <v>74</v>
      </c>
      <c r="K232" s="17" t="s">
        <v>95</v>
      </c>
    </row>
    <row r="233" customFormat="false" ht="38" hidden="false" customHeight="true" outlineLevel="0" collapsed="false">
      <c r="A233" s="17" t="s">
        <v>718</v>
      </c>
      <c r="B233" s="17" t="s">
        <v>349</v>
      </c>
      <c r="C233" s="17" t="s">
        <v>68</v>
      </c>
      <c r="D233" s="17" t="s">
        <v>39</v>
      </c>
      <c r="E233" s="17" t="s">
        <v>719</v>
      </c>
      <c r="F233" s="17" t="s">
        <v>351</v>
      </c>
      <c r="G233" s="17" t="s">
        <v>367</v>
      </c>
      <c r="H233" s="17" t="s">
        <v>72</v>
      </c>
      <c r="I233" s="17" t="s">
        <v>73</v>
      </c>
      <c r="J233" s="17" t="s">
        <v>74</v>
      </c>
      <c r="K233" s="17" t="s">
        <v>95</v>
      </c>
    </row>
    <row r="234" customFormat="false" ht="38" hidden="false" customHeight="true" outlineLevel="0" collapsed="false">
      <c r="A234" s="17" t="s">
        <v>720</v>
      </c>
      <c r="B234" s="17" t="s">
        <v>349</v>
      </c>
      <c r="C234" s="17" t="s">
        <v>68</v>
      </c>
      <c r="D234" s="17" t="s">
        <v>39</v>
      </c>
      <c r="E234" s="17" t="s">
        <v>721</v>
      </c>
      <c r="F234" s="17" t="s">
        <v>351</v>
      </c>
      <c r="G234" s="17" t="s">
        <v>370</v>
      </c>
      <c r="H234" s="17" t="s">
        <v>72</v>
      </c>
      <c r="I234" s="17" t="s">
        <v>73</v>
      </c>
      <c r="J234" s="17" t="s">
        <v>74</v>
      </c>
      <c r="K234" s="17" t="s">
        <v>95</v>
      </c>
    </row>
    <row r="235" customFormat="false" ht="38" hidden="false" customHeight="true" outlineLevel="0" collapsed="false">
      <c r="A235" s="17" t="s">
        <v>722</v>
      </c>
      <c r="B235" s="17" t="s">
        <v>349</v>
      </c>
      <c r="C235" s="17" t="s">
        <v>68</v>
      </c>
      <c r="D235" s="17" t="s">
        <v>39</v>
      </c>
      <c r="E235" s="17" t="s">
        <v>723</v>
      </c>
      <c r="F235" s="17" t="s">
        <v>351</v>
      </c>
      <c r="G235" s="17" t="s">
        <v>543</v>
      </c>
      <c r="H235" s="17" t="s">
        <v>72</v>
      </c>
      <c r="I235" s="17" t="s">
        <v>73</v>
      </c>
      <c r="J235" s="17" t="s">
        <v>74</v>
      </c>
      <c r="K235" s="17" t="s">
        <v>95</v>
      </c>
    </row>
    <row r="236" customFormat="false" ht="38" hidden="false" customHeight="true" outlineLevel="0" collapsed="false">
      <c r="A236" s="17" t="s">
        <v>724</v>
      </c>
      <c r="B236" s="17" t="s">
        <v>349</v>
      </c>
      <c r="C236" s="17" t="s">
        <v>68</v>
      </c>
      <c r="D236" s="17" t="s">
        <v>39</v>
      </c>
      <c r="E236" s="17" t="s">
        <v>725</v>
      </c>
      <c r="F236" s="17" t="s">
        <v>351</v>
      </c>
      <c r="G236" s="17" t="s">
        <v>373</v>
      </c>
      <c r="H236" s="17" t="s">
        <v>72</v>
      </c>
      <c r="I236" s="17" t="s">
        <v>73</v>
      </c>
      <c r="J236" s="17" t="s">
        <v>74</v>
      </c>
      <c r="K236" s="17" t="s">
        <v>95</v>
      </c>
    </row>
    <row r="237" customFormat="false" ht="38" hidden="false" customHeight="true" outlineLevel="0" collapsed="false">
      <c r="A237" s="17" t="s">
        <v>726</v>
      </c>
      <c r="B237" s="17" t="s">
        <v>349</v>
      </c>
      <c r="C237" s="17" t="s">
        <v>68</v>
      </c>
      <c r="D237" s="17" t="s">
        <v>39</v>
      </c>
      <c r="E237" s="17" t="s">
        <v>727</v>
      </c>
      <c r="F237" s="17" t="s">
        <v>351</v>
      </c>
      <c r="G237" s="17" t="s">
        <v>316</v>
      </c>
      <c r="H237" s="17" t="s">
        <v>72</v>
      </c>
      <c r="I237" s="17" t="s">
        <v>73</v>
      </c>
      <c r="J237" s="17" t="s">
        <v>74</v>
      </c>
      <c r="K237" s="17" t="s">
        <v>95</v>
      </c>
    </row>
    <row r="238" customFormat="false" ht="38" hidden="false" customHeight="true" outlineLevel="0" collapsed="false">
      <c r="A238" s="17" t="s">
        <v>728</v>
      </c>
      <c r="B238" s="17" t="s">
        <v>349</v>
      </c>
      <c r="C238" s="17" t="s">
        <v>68</v>
      </c>
      <c r="D238" s="17" t="s">
        <v>39</v>
      </c>
      <c r="E238" s="17" t="s">
        <v>729</v>
      </c>
      <c r="F238" s="17" t="s">
        <v>351</v>
      </c>
      <c r="G238" s="17" t="s">
        <v>378</v>
      </c>
      <c r="H238" s="17" t="s">
        <v>72</v>
      </c>
      <c r="I238" s="17" t="s">
        <v>73</v>
      </c>
      <c r="J238" s="17" t="s">
        <v>74</v>
      </c>
      <c r="K238" s="17" t="s">
        <v>95</v>
      </c>
    </row>
    <row r="239" customFormat="false" ht="38" hidden="false" customHeight="true" outlineLevel="0" collapsed="false">
      <c r="A239" s="17" t="s">
        <v>730</v>
      </c>
      <c r="B239" s="17" t="s">
        <v>349</v>
      </c>
      <c r="C239" s="17" t="s">
        <v>68</v>
      </c>
      <c r="D239" s="17" t="s">
        <v>39</v>
      </c>
      <c r="E239" s="17" t="s">
        <v>731</v>
      </c>
      <c r="F239" s="17" t="s">
        <v>351</v>
      </c>
      <c r="G239" s="17" t="s">
        <v>381</v>
      </c>
      <c r="H239" s="17" t="s">
        <v>72</v>
      </c>
      <c r="I239" s="17" t="s">
        <v>73</v>
      </c>
      <c r="J239" s="17" t="s">
        <v>74</v>
      </c>
      <c r="K239" s="17" t="s">
        <v>95</v>
      </c>
    </row>
    <row r="240" customFormat="false" ht="38" hidden="false" customHeight="true" outlineLevel="0" collapsed="false">
      <c r="A240" s="17" t="s">
        <v>732</v>
      </c>
      <c r="B240" s="17" t="s">
        <v>349</v>
      </c>
      <c r="C240" s="17" t="s">
        <v>68</v>
      </c>
      <c r="D240" s="17" t="s">
        <v>39</v>
      </c>
      <c r="E240" s="17" t="s">
        <v>733</v>
      </c>
      <c r="F240" s="17" t="s">
        <v>351</v>
      </c>
      <c r="G240" s="17" t="s">
        <v>734</v>
      </c>
      <c r="H240" s="17" t="s">
        <v>72</v>
      </c>
      <c r="I240" s="17" t="s">
        <v>73</v>
      </c>
      <c r="J240" s="17" t="s">
        <v>74</v>
      </c>
      <c r="K240" s="17" t="s">
        <v>95</v>
      </c>
    </row>
    <row r="241" customFormat="false" ht="38" hidden="false" customHeight="true" outlineLevel="0" collapsed="false">
      <c r="A241" s="17" t="s">
        <v>735</v>
      </c>
      <c r="B241" s="17" t="s">
        <v>349</v>
      </c>
      <c r="C241" s="17" t="s">
        <v>68</v>
      </c>
      <c r="D241" s="17" t="s">
        <v>39</v>
      </c>
      <c r="E241" s="17" t="s">
        <v>736</v>
      </c>
      <c r="F241" s="17" t="s">
        <v>351</v>
      </c>
      <c r="G241" s="17" t="s">
        <v>387</v>
      </c>
      <c r="H241" s="17" t="s">
        <v>72</v>
      </c>
      <c r="I241" s="17" t="s">
        <v>73</v>
      </c>
      <c r="J241" s="17" t="s">
        <v>74</v>
      </c>
      <c r="K241" s="17" t="s">
        <v>95</v>
      </c>
    </row>
    <row r="242" customFormat="false" ht="38" hidden="false" customHeight="true" outlineLevel="0" collapsed="false">
      <c r="A242" s="17" t="s">
        <v>737</v>
      </c>
      <c r="B242" s="17" t="s">
        <v>349</v>
      </c>
      <c r="C242" s="17" t="s">
        <v>68</v>
      </c>
      <c r="D242" s="17" t="s">
        <v>39</v>
      </c>
      <c r="E242" s="17" t="s">
        <v>738</v>
      </c>
      <c r="F242" s="17" t="s">
        <v>351</v>
      </c>
      <c r="G242" s="17" t="s">
        <v>513</v>
      </c>
      <c r="H242" s="17" t="s">
        <v>72</v>
      </c>
      <c r="I242" s="17" t="s">
        <v>73</v>
      </c>
      <c r="J242" s="17" t="s">
        <v>74</v>
      </c>
      <c r="K242" s="17" t="s">
        <v>95</v>
      </c>
    </row>
    <row r="243" customFormat="false" ht="38" hidden="false" customHeight="true" outlineLevel="0" collapsed="false">
      <c r="A243" s="17" t="s">
        <v>739</v>
      </c>
      <c r="B243" s="17" t="s">
        <v>349</v>
      </c>
      <c r="C243" s="17" t="s">
        <v>68</v>
      </c>
      <c r="D243" s="17" t="s">
        <v>39</v>
      </c>
      <c r="E243" s="17" t="s">
        <v>740</v>
      </c>
      <c r="F243" s="17" t="s">
        <v>351</v>
      </c>
      <c r="G243" s="17" t="s">
        <v>321</v>
      </c>
      <c r="H243" s="17" t="s">
        <v>72</v>
      </c>
      <c r="I243" s="17" t="s">
        <v>73</v>
      </c>
      <c r="J243" s="17" t="s">
        <v>74</v>
      </c>
      <c r="K243" s="17" t="s">
        <v>95</v>
      </c>
    </row>
    <row r="244" customFormat="false" ht="38" hidden="false" customHeight="true" outlineLevel="0" collapsed="false">
      <c r="A244" s="17" t="s">
        <v>741</v>
      </c>
      <c r="B244" s="17" t="s">
        <v>349</v>
      </c>
      <c r="C244" s="17" t="s">
        <v>68</v>
      </c>
      <c r="D244" s="17" t="s">
        <v>39</v>
      </c>
      <c r="E244" s="17" t="s">
        <v>742</v>
      </c>
      <c r="F244" s="17" t="s">
        <v>351</v>
      </c>
      <c r="G244" s="17" t="s">
        <v>392</v>
      </c>
      <c r="H244" s="17" t="s">
        <v>72</v>
      </c>
      <c r="I244" s="17" t="s">
        <v>73</v>
      </c>
      <c r="J244" s="17" t="s">
        <v>74</v>
      </c>
      <c r="K244" s="17" t="s">
        <v>95</v>
      </c>
    </row>
    <row r="245" customFormat="false" ht="38" hidden="false" customHeight="true" outlineLevel="0" collapsed="false">
      <c r="A245" s="17" t="s">
        <v>743</v>
      </c>
      <c r="B245" s="17" t="s">
        <v>349</v>
      </c>
      <c r="C245" s="17" t="s">
        <v>68</v>
      </c>
      <c r="D245" s="17" t="s">
        <v>39</v>
      </c>
      <c r="E245" s="17" t="s">
        <v>744</v>
      </c>
      <c r="F245" s="17" t="s">
        <v>351</v>
      </c>
      <c r="G245" s="17" t="s">
        <v>745</v>
      </c>
      <c r="H245" s="17" t="s">
        <v>72</v>
      </c>
      <c r="I245" s="17" t="s">
        <v>73</v>
      </c>
      <c r="J245" s="17" t="s">
        <v>74</v>
      </c>
      <c r="K245" s="17" t="s">
        <v>95</v>
      </c>
    </row>
    <row r="246" customFormat="false" ht="38" hidden="false" customHeight="true" outlineLevel="0" collapsed="false">
      <c r="A246" s="17" t="s">
        <v>746</v>
      </c>
      <c r="B246" s="17" t="s">
        <v>349</v>
      </c>
      <c r="C246" s="17" t="s">
        <v>68</v>
      </c>
      <c r="D246" s="17" t="s">
        <v>39</v>
      </c>
      <c r="E246" s="17" t="s">
        <v>747</v>
      </c>
      <c r="F246" s="17" t="s">
        <v>351</v>
      </c>
      <c r="G246" s="17" t="s">
        <v>748</v>
      </c>
      <c r="H246" s="17" t="s">
        <v>72</v>
      </c>
      <c r="I246" s="17" t="s">
        <v>73</v>
      </c>
      <c r="J246" s="17" t="s">
        <v>74</v>
      </c>
      <c r="K246" s="17" t="s">
        <v>95</v>
      </c>
    </row>
    <row r="247" customFormat="false" ht="38" hidden="false" customHeight="true" outlineLevel="0" collapsed="false">
      <c r="A247" s="17" t="s">
        <v>749</v>
      </c>
      <c r="B247" s="17" t="s">
        <v>349</v>
      </c>
      <c r="C247" s="17" t="s">
        <v>68</v>
      </c>
      <c r="D247" s="17" t="s">
        <v>39</v>
      </c>
      <c r="E247" s="17" t="s">
        <v>750</v>
      </c>
      <c r="F247" s="17" t="s">
        <v>351</v>
      </c>
      <c r="G247" s="17" t="s">
        <v>395</v>
      </c>
      <c r="H247" s="17" t="s">
        <v>72</v>
      </c>
      <c r="I247" s="17" t="s">
        <v>73</v>
      </c>
      <c r="J247" s="17" t="s">
        <v>74</v>
      </c>
      <c r="K247" s="17" t="s">
        <v>95</v>
      </c>
    </row>
    <row r="248" customFormat="false" ht="38" hidden="false" customHeight="true" outlineLevel="0" collapsed="false">
      <c r="A248" s="17" t="s">
        <v>751</v>
      </c>
      <c r="B248" s="17" t="s">
        <v>349</v>
      </c>
      <c r="C248" s="17" t="s">
        <v>68</v>
      </c>
      <c r="D248" s="17" t="s">
        <v>39</v>
      </c>
      <c r="E248" s="17" t="s">
        <v>752</v>
      </c>
      <c r="F248" s="17" t="s">
        <v>351</v>
      </c>
      <c r="G248" s="17" t="s">
        <v>398</v>
      </c>
      <c r="H248" s="17" t="s">
        <v>72</v>
      </c>
      <c r="I248" s="17" t="s">
        <v>73</v>
      </c>
      <c r="J248" s="17" t="s">
        <v>74</v>
      </c>
      <c r="K248" s="17" t="s">
        <v>95</v>
      </c>
    </row>
    <row r="249" customFormat="false" ht="38" hidden="false" customHeight="true" outlineLevel="0" collapsed="false">
      <c r="A249" s="17" t="s">
        <v>753</v>
      </c>
      <c r="B249" s="17" t="s">
        <v>349</v>
      </c>
      <c r="C249" s="17" t="s">
        <v>68</v>
      </c>
      <c r="D249" s="17" t="s">
        <v>39</v>
      </c>
      <c r="E249" s="17" t="s">
        <v>754</v>
      </c>
      <c r="F249" s="17" t="s">
        <v>351</v>
      </c>
      <c r="G249" s="17" t="s">
        <v>325</v>
      </c>
      <c r="H249" s="17" t="s">
        <v>72</v>
      </c>
      <c r="I249" s="17" t="s">
        <v>73</v>
      </c>
      <c r="J249" s="17" t="s">
        <v>74</v>
      </c>
      <c r="K249" s="17" t="s">
        <v>95</v>
      </c>
    </row>
    <row r="250" customFormat="false" ht="38" hidden="false" customHeight="true" outlineLevel="0" collapsed="false">
      <c r="A250" s="17" t="s">
        <v>755</v>
      </c>
      <c r="B250" s="17" t="s">
        <v>756</v>
      </c>
      <c r="C250" s="17" t="s">
        <v>68</v>
      </c>
      <c r="D250" s="17" t="s">
        <v>47</v>
      </c>
      <c r="E250" s="17" t="s">
        <v>757</v>
      </c>
      <c r="F250" s="17" t="s">
        <v>758</v>
      </c>
      <c r="G250" s="17" t="s">
        <v>758</v>
      </c>
      <c r="H250" s="17" t="s">
        <v>72</v>
      </c>
      <c r="I250" s="17" t="s">
        <v>73</v>
      </c>
      <c r="J250" s="17" t="s">
        <v>74</v>
      </c>
      <c r="K250" s="17" t="s">
        <v>99</v>
      </c>
    </row>
    <row r="251" customFormat="false" ht="38" hidden="false" customHeight="true" outlineLevel="0" collapsed="false">
      <c r="A251" s="17" t="s">
        <v>759</v>
      </c>
      <c r="B251" s="17" t="s">
        <v>760</v>
      </c>
      <c r="C251" s="17" t="s">
        <v>68</v>
      </c>
      <c r="D251" s="17" t="s">
        <v>47</v>
      </c>
      <c r="E251" s="17" t="s">
        <v>761</v>
      </c>
      <c r="F251" s="17" t="s">
        <v>762</v>
      </c>
      <c r="G251" s="17" t="s">
        <v>762</v>
      </c>
      <c r="H251" s="17" t="s">
        <v>72</v>
      </c>
      <c r="I251" s="17" t="s">
        <v>73</v>
      </c>
      <c r="J251" s="17" t="s">
        <v>74</v>
      </c>
      <c r="K251" s="17" t="s">
        <v>763</v>
      </c>
    </row>
    <row r="252" customFormat="false" ht="38" hidden="false" customHeight="true" outlineLevel="0" collapsed="false">
      <c r="A252" s="17" t="s">
        <v>764</v>
      </c>
      <c r="B252" s="17" t="s">
        <v>765</v>
      </c>
      <c r="C252" s="17" t="s">
        <v>68</v>
      </c>
      <c r="D252" s="17" t="s">
        <v>47</v>
      </c>
      <c r="E252" s="17" t="s">
        <v>766</v>
      </c>
      <c r="F252" s="17" t="s">
        <v>767</v>
      </c>
      <c r="G252" s="17" t="s">
        <v>767</v>
      </c>
      <c r="H252" s="17" t="s">
        <v>72</v>
      </c>
      <c r="I252" s="17" t="s">
        <v>73</v>
      </c>
      <c r="J252" s="17" t="s">
        <v>74</v>
      </c>
      <c r="K252" s="17" t="s">
        <v>768</v>
      </c>
    </row>
    <row r="253" customFormat="false" ht="38" hidden="false" customHeight="true" outlineLevel="0" collapsed="false">
      <c r="A253" s="17" t="s">
        <v>769</v>
      </c>
      <c r="B253" s="17" t="s">
        <v>770</v>
      </c>
      <c r="C253" s="17" t="s">
        <v>68</v>
      </c>
      <c r="D253" s="17" t="s">
        <v>47</v>
      </c>
      <c r="E253" s="17" t="s">
        <v>771</v>
      </c>
      <c r="F253" s="17" t="s">
        <v>164</v>
      </c>
      <c r="G253" s="17" t="s">
        <v>164</v>
      </c>
      <c r="H253" s="17" t="s">
        <v>72</v>
      </c>
      <c r="I253" s="17" t="s">
        <v>73</v>
      </c>
      <c r="J253" s="17" t="s">
        <v>74</v>
      </c>
      <c r="K253" s="17" t="s">
        <v>768</v>
      </c>
    </row>
    <row r="254" customFormat="false" ht="38" hidden="false" customHeight="true" outlineLevel="0" collapsed="false">
      <c r="A254" s="17" t="s">
        <v>772</v>
      </c>
      <c r="B254" s="17" t="s">
        <v>773</v>
      </c>
      <c r="C254" s="17" t="s">
        <v>68</v>
      </c>
      <c r="D254" s="17" t="s">
        <v>47</v>
      </c>
      <c r="E254" s="17" t="s">
        <v>774</v>
      </c>
      <c r="F254" s="17" t="s">
        <v>775</v>
      </c>
      <c r="G254" s="17" t="s">
        <v>775</v>
      </c>
      <c r="H254" s="17" t="s">
        <v>72</v>
      </c>
      <c r="I254" s="17" t="s">
        <v>73</v>
      </c>
      <c r="J254" s="17" t="s">
        <v>74</v>
      </c>
      <c r="K254" s="17" t="s">
        <v>776</v>
      </c>
    </row>
    <row r="255" customFormat="false" ht="38" hidden="false" customHeight="true" outlineLevel="0" collapsed="false">
      <c r="A255" s="17" t="s">
        <v>777</v>
      </c>
      <c r="B255" s="17" t="s">
        <v>778</v>
      </c>
      <c r="C255" s="17" t="s">
        <v>68</v>
      </c>
      <c r="D255" s="17" t="s">
        <v>47</v>
      </c>
      <c r="E255" s="17" t="s">
        <v>779</v>
      </c>
      <c r="F255" s="17" t="s">
        <v>780</v>
      </c>
      <c r="G255" s="17" t="s">
        <v>780</v>
      </c>
      <c r="H255" s="17" t="s">
        <v>72</v>
      </c>
      <c r="I255" s="17" t="s">
        <v>73</v>
      </c>
      <c r="J255" s="17" t="s">
        <v>74</v>
      </c>
      <c r="K255" s="17" t="s">
        <v>781</v>
      </c>
    </row>
    <row r="256" customFormat="false" ht="38" hidden="false" customHeight="true" outlineLevel="0" collapsed="false">
      <c r="A256" s="17" t="s">
        <v>782</v>
      </c>
      <c r="B256" s="17" t="s">
        <v>783</v>
      </c>
      <c r="C256" s="17" t="s">
        <v>68</v>
      </c>
      <c r="D256" s="17" t="s">
        <v>47</v>
      </c>
      <c r="E256" s="17" t="s">
        <v>784</v>
      </c>
      <c r="F256" s="17" t="s">
        <v>130</v>
      </c>
      <c r="G256" s="17" t="s">
        <v>130</v>
      </c>
      <c r="H256" s="17" t="s">
        <v>72</v>
      </c>
      <c r="I256" s="17" t="s">
        <v>73</v>
      </c>
      <c r="J256" s="17" t="s">
        <v>74</v>
      </c>
      <c r="K256" s="17" t="s">
        <v>785</v>
      </c>
    </row>
    <row r="257" customFormat="false" ht="38" hidden="false" customHeight="true" outlineLevel="0" collapsed="false">
      <c r="A257" s="17" t="s">
        <v>786</v>
      </c>
      <c r="B257" s="17" t="s">
        <v>787</v>
      </c>
      <c r="C257" s="17" t="s">
        <v>68</v>
      </c>
      <c r="D257" s="17" t="s">
        <v>47</v>
      </c>
      <c r="E257" s="17" t="s">
        <v>788</v>
      </c>
      <c r="F257" s="17" t="s">
        <v>130</v>
      </c>
      <c r="G257" s="17" t="s">
        <v>130</v>
      </c>
      <c r="H257" s="17" t="s">
        <v>72</v>
      </c>
      <c r="I257" s="17" t="s">
        <v>105</v>
      </c>
      <c r="J257" s="17" t="s">
        <v>74</v>
      </c>
      <c r="K257" s="17" t="s">
        <v>789</v>
      </c>
    </row>
    <row r="258" customFormat="false" ht="38" hidden="false" customHeight="true" outlineLevel="0" collapsed="false">
      <c r="A258" s="17" t="s">
        <v>790</v>
      </c>
      <c r="B258" s="17" t="s">
        <v>791</v>
      </c>
      <c r="C258" s="17" t="s">
        <v>68</v>
      </c>
      <c r="D258" s="17" t="s">
        <v>47</v>
      </c>
      <c r="E258" s="17" t="s">
        <v>792</v>
      </c>
      <c r="F258" s="17" t="s">
        <v>762</v>
      </c>
      <c r="G258" s="17" t="s">
        <v>762</v>
      </c>
      <c r="H258" s="17" t="s">
        <v>72</v>
      </c>
      <c r="I258" s="17" t="s">
        <v>105</v>
      </c>
      <c r="J258" s="17" t="s">
        <v>74</v>
      </c>
      <c r="K258" s="17" t="s">
        <v>303</v>
      </c>
    </row>
    <row r="259" customFormat="false" ht="38" hidden="false" customHeight="true" outlineLevel="0" collapsed="false">
      <c r="A259" s="17" t="s">
        <v>793</v>
      </c>
      <c r="B259" s="17" t="s">
        <v>794</v>
      </c>
      <c r="C259" s="17" t="s">
        <v>68</v>
      </c>
      <c r="D259" s="17" t="s">
        <v>50</v>
      </c>
      <c r="E259" s="17" t="s">
        <v>795</v>
      </c>
      <c r="F259" s="17" t="s">
        <v>164</v>
      </c>
      <c r="G259" s="17" t="s">
        <v>164</v>
      </c>
      <c r="H259" s="17" t="s">
        <v>72</v>
      </c>
      <c r="I259" s="17" t="s">
        <v>73</v>
      </c>
      <c r="J259" s="17" t="s">
        <v>74</v>
      </c>
      <c r="K259" s="17" t="s">
        <v>796</v>
      </c>
    </row>
    <row r="260" customFormat="false" ht="38" hidden="false" customHeight="true" outlineLevel="0" collapsed="false">
      <c r="A260" s="17" t="s">
        <v>797</v>
      </c>
      <c r="B260" s="17" t="s">
        <v>798</v>
      </c>
      <c r="C260" s="17" t="s">
        <v>68</v>
      </c>
      <c r="D260" s="17" t="s">
        <v>50</v>
      </c>
      <c r="E260" s="17" t="s">
        <v>799</v>
      </c>
      <c r="F260" s="17" t="s">
        <v>85</v>
      </c>
      <c r="G260" s="17" t="s">
        <v>195</v>
      </c>
      <c r="H260" s="17" t="s">
        <v>72</v>
      </c>
      <c r="I260" s="17" t="s">
        <v>73</v>
      </c>
      <c r="J260" s="17" t="s">
        <v>74</v>
      </c>
      <c r="K260" s="17" t="s">
        <v>796</v>
      </c>
    </row>
    <row r="261" customFormat="false" ht="38" hidden="false" customHeight="true" outlineLevel="0" collapsed="false">
      <c r="A261" s="17" t="s">
        <v>800</v>
      </c>
      <c r="B261" s="17" t="s">
        <v>801</v>
      </c>
      <c r="C261" s="17" t="s">
        <v>68</v>
      </c>
      <c r="D261" s="17" t="s">
        <v>48</v>
      </c>
      <c r="E261" s="17" t="s">
        <v>802</v>
      </c>
      <c r="F261" s="17" t="s">
        <v>803</v>
      </c>
      <c r="G261" s="17" t="s">
        <v>803</v>
      </c>
      <c r="H261" s="17" t="s">
        <v>72</v>
      </c>
      <c r="I261" s="17" t="s">
        <v>73</v>
      </c>
      <c r="J261" s="17" t="s">
        <v>74</v>
      </c>
      <c r="K261" s="17" t="s">
        <v>95</v>
      </c>
    </row>
    <row r="262" customFormat="false" ht="38" hidden="false" customHeight="true" outlineLevel="0" collapsed="false">
      <c r="A262" s="17" t="s">
        <v>804</v>
      </c>
      <c r="B262" s="17" t="s">
        <v>805</v>
      </c>
      <c r="C262" s="17" t="s">
        <v>68</v>
      </c>
      <c r="D262" s="17" t="s">
        <v>48</v>
      </c>
      <c r="E262" s="17" t="s">
        <v>806</v>
      </c>
      <c r="F262" s="17" t="s">
        <v>803</v>
      </c>
      <c r="G262" s="17" t="s">
        <v>803</v>
      </c>
      <c r="H262" s="17" t="s">
        <v>72</v>
      </c>
      <c r="I262" s="17" t="s">
        <v>73</v>
      </c>
      <c r="J262" s="17" t="s">
        <v>74</v>
      </c>
      <c r="K262" s="17" t="s">
        <v>95</v>
      </c>
    </row>
    <row r="263" customFormat="false" ht="38" hidden="false" customHeight="true" outlineLevel="0" collapsed="false">
      <c r="A263" s="17" t="s">
        <v>807</v>
      </c>
      <c r="B263" s="17" t="s">
        <v>808</v>
      </c>
      <c r="C263" s="17" t="s">
        <v>68</v>
      </c>
      <c r="D263" s="17" t="s">
        <v>48</v>
      </c>
      <c r="E263" s="17" t="s">
        <v>809</v>
      </c>
      <c r="F263" s="17" t="s">
        <v>810</v>
      </c>
      <c r="G263" s="17" t="s">
        <v>70</v>
      </c>
      <c r="H263" s="17" t="s">
        <v>72</v>
      </c>
      <c r="I263" s="17" t="s">
        <v>73</v>
      </c>
      <c r="J263" s="17" t="s">
        <v>74</v>
      </c>
      <c r="K263" s="17" t="s">
        <v>95</v>
      </c>
    </row>
    <row r="264" customFormat="false" ht="38" hidden="false" customHeight="true" outlineLevel="0" collapsed="false">
      <c r="A264" s="17" t="s">
        <v>811</v>
      </c>
      <c r="B264" s="17" t="s">
        <v>812</v>
      </c>
      <c r="C264" s="17" t="s">
        <v>68</v>
      </c>
      <c r="D264" s="17" t="s">
        <v>48</v>
      </c>
      <c r="E264" s="17" t="s">
        <v>813</v>
      </c>
      <c r="F264" s="17" t="s">
        <v>814</v>
      </c>
      <c r="G264" s="17" t="s">
        <v>814</v>
      </c>
      <c r="H264" s="17" t="s">
        <v>72</v>
      </c>
      <c r="I264" s="17" t="s">
        <v>73</v>
      </c>
      <c r="J264" s="17" t="s">
        <v>74</v>
      </c>
      <c r="K264" s="17" t="s">
        <v>95</v>
      </c>
    </row>
    <row r="265" customFormat="false" ht="38" hidden="false" customHeight="true" outlineLevel="0" collapsed="false">
      <c r="A265" s="17" t="s">
        <v>815</v>
      </c>
      <c r="B265" s="17" t="s">
        <v>816</v>
      </c>
      <c r="C265" s="17" t="s">
        <v>68</v>
      </c>
      <c r="D265" s="17" t="s">
        <v>48</v>
      </c>
      <c r="E265" s="17" t="s">
        <v>817</v>
      </c>
      <c r="F265" s="17" t="s">
        <v>164</v>
      </c>
      <c r="G265" s="17" t="s">
        <v>164</v>
      </c>
      <c r="H265" s="17" t="s">
        <v>72</v>
      </c>
      <c r="I265" s="17" t="s">
        <v>105</v>
      </c>
      <c r="J265" s="17" t="s">
        <v>74</v>
      </c>
      <c r="K265" s="17" t="s">
        <v>312</v>
      </c>
    </row>
    <row r="266" customFormat="false" ht="38" hidden="false" customHeight="true" outlineLevel="0" collapsed="false">
      <c r="A266" s="17" t="s">
        <v>818</v>
      </c>
      <c r="B266" s="17" t="s">
        <v>819</v>
      </c>
      <c r="C266" s="17" t="s">
        <v>68</v>
      </c>
      <c r="D266" s="17" t="s">
        <v>48</v>
      </c>
      <c r="E266" s="17" t="s">
        <v>820</v>
      </c>
      <c r="F266" s="17" t="s">
        <v>821</v>
      </c>
      <c r="G266" s="17" t="s">
        <v>821</v>
      </c>
      <c r="H266" s="17" t="s">
        <v>72</v>
      </c>
      <c r="I266" s="17" t="s">
        <v>73</v>
      </c>
      <c r="J266" s="17" t="s">
        <v>74</v>
      </c>
      <c r="K266" s="17" t="s">
        <v>312</v>
      </c>
    </row>
    <row r="267" customFormat="false" ht="38" hidden="false" customHeight="true" outlineLevel="0" collapsed="false">
      <c r="A267" s="17" t="s">
        <v>822</v>
      </c>
      <c r="B267" s="17" t="s">
        <v>823</v>
      </c>
      <c r="C267" s="17" t="s">
        <v>68</v>
      </c>
      <c r="D267" s="17" t="s">
        <v>48</v>
      </c>
      <c r="E267" s="17" t="s">
        <v>824</v>
      </c>
      <c r="F267" s="17" t="s">
        <v>825</v>
      </c>
      <c r="G267" s="17" t="s">
        <v>825</v>
      </c>
      <c r="H267" s="17" t="s">
        <v>72</v>
      </c>
      <c r="I267" s="17" t="s">
        <v>105</v>
      </c>
      <c r="J267" s="17" t="s">
        <v>74</v>
      </c>
      <c r="K267" s="17" t="s">
        <v>312</v>
      </c>
    </row>
    <row r="268" customFormat="false" ht="38" hidden="false" customHeight="true" outlineLevel="0" collapsed="false">
      <c r="A268" s="17" t="s">
        <v>826</v>
      </c>
      <c r="B268" s="17" t="s">
        <v>827</v>
      </c>
      <c r="C268" s="17" t="s">
        <v>68</v>
      </c>
      <c r="D268" s="17" t="s">
        <v>48</v>
      </c>
      <c r="E268" s="17" t="s">
        <v>828</v>
      </c>
      <c r="F268" s="17" t="s">
        <v>104</v>
      </c>
      <c r="G268" s="17" t="s">
        <v>104</v>
      </c>
      <c r="H268" s="17" t="s">
        <v>72</v>
      </c>
      <c r="I268" s="17" t="s">
        <v>105</v>
      </c>
      <c r="J268" s="17" t="s">
        <v>74</v>
      </c>
      <c r="K268" s="17" t="s">
        <v>312</v>
      </c>
    </row>
    <row r="269" customFormat="false" ht="38" hidden="false" customHeight="true" outlineLevel="0" collapsed="false">
      <c r="A269" s="17" t="s">
        <v>829</v>
      </c>
      <c r="B269" s="17" t="s">
        <v>830</v>
      </c>
      <c r="C269" s="17" t="s">
        <v>68</v>
      </c>
      <c r="D269" s="17" t="s">
        <v>49</v>
      </c>
      <c r="E269" s="17" t="s">
        <v>831</v>
      </c>
      <c r="F269" s="17" t="s">
        <v>832</v>
      </c>
      <c r="G269" s="17" t="s">
        <v>833</v>
      </c>
      <c r="H269" s="17" t="s">
        <v>72</v>
      </c>
      <c r="I269" s="17" t="s">
        <v>105</v>
      </c>
      <c r="J269" s="17" t="s">
        <v>74</v>
      </c>
      <c r="K269" s="17" t="s">
        <v>109</v>
      </c>
    </row>
    <row r="270" customFormat="false" ht="38" hidden="false" customHeight="true" outlineLevel="0" collapsed="false">
      <c r="A270" s="17" t="s">
        <v>834</v>
      </c>
      <c r="B270" s="17" t="s">
        <v>835</v>
      </c>
      <c r="C270" s="17" t="s">
        <v>68</v>
      </c>
      <c r="D270" s="17" t="s">
        <v>49</v>
      </c>
      <c r="E270" s="17" t="s">
        <v>836</v>
      </c>
      <c r="F270" s="17" t="s">
        <v>837</v>
      </c>
      <c r="G270" s="17" t="s">
        <v>71</v>
      </c>
      <c r="H270" s="17" t="s">
        <v>72</v>
      </c>
      <c r="I270" s="17" t="s">
        <v>105</v>
      </c>
      <c r="J270" s="17" t="s">
        <v>74</v>
      </c>
      <c r="K270" s="17" t="s">
        <v>838</v>
      </c>
    </row>
    <row r="271" customFormat="false" ht="38" hidden="false" customHeight="true" outlineLevel="0" collapsed="false">
      <c r="A271" s="17" t="s">
        <v>839</v>
      </c>
      <c r="B271" s="17" t="s">
        <v>840</v>
      </c>
      <c r="C271" s="17" t="s">
        <v>68</v>
      </c>
      <c r="D271" s="17" t="s">
        <v>49</v>
      </c>
      <c r="E271" s="17" t="s">
        <v>841</v>
      </c>
      <c r="F271" s="17" t="s">
        <v>113</v>
      </c>
      <c r="G271" s="17" t="s">
        <v>71</v>
      </c>
      <c r="H271" s="17" t="s">
        <v>72</v>
      </c>
      <c r="I271" s="17" t="s">
        <v>105</v>
      </c>
      <c r="J271" s="17" t="s">
        <v>74</v>
      </c>
      <c r="K271" s="17" t="s">
        <v>838</v>
      </c>
    </row>
    <row r="272" customFormat="false" ht="38" hidden="false" customHeight="true" outlineLevel="0" collapsed="false">
      <c r="A272" s="17" t="s">
        <v>842</v>
      </c>
      <c r="B272" s="17" t="s">
        <v>843</v>
      </c>
      <c r="C272" s="17" t="s">
        <v>68</v>
      </c>
      <c r="D272" s="17" t="s">
        <v>44</v>
      </c>
      <c r="E272" s="17" t="s">
        <v>844</v>
      </c>
      <c r="F272" s="17" t="s">
        <v>845</v>
      </c>
      <c r="G272" s="17" t="s">
        <v>846</v>
      </c>
      <c r="H272" s="17" t="s">
        <v>847</v>
      </c>
      <c r="I272" s="17" t="s">
        <v>105</v>
      </c>
      <c r="J272" s="17" t="s">
        <v>74</v>
      </c>
      <c r="K272" s="17" t="s">
        <v>846</v>
      </c>
    </row>
    <row r="273" customFormat="false" ht="38" hidden="false" customHeight="true" outlineLevel="0" collapsed="false">
      <c r="A273" s="17" t="s">
        <v>848</v>
      </c>
      <c r="B273" s="17" t="s">
        <v>843</v>
      </c>
      <c r="C273" s="17" t="s">
        <v>68</v>
      </c>
      <c r="D273" s="17" t="s">
        <v>44</v>
      </c>
      <c r="E273" s="17" t="s">
        <v>849</v>
      </c>
      <c r="F273" s="17" t="s">
        <v>850</v>
      </c>
      <c r="G273" s="17" t="s">
        <v>851</v>
      </c>
      <c r="H273" s="17" t="s">
        <v>847</v>
      </c>
      <c r="I273" s="17" t="s">
        <v>105</v>
      </c>
      <c r="J273" s="17" t="s">
        <v>74</v>
      </c>
      <c r="K273" s="17" t="s">
        <v>851</v>
      </c>
    </row>
    <row r="274" customFormat="false" ht="38" hidden="false" customHeight="true" outlineLevel="0" collapsed="false">
      <c r="A274" s="17" t="s">
        <v>852</v>
      </c>
      <c r="B274" s="17" t="s">
        <v>843</v>
      </c>
      <c r="C274" s="17" t="s">
        <v>68</v>
      </c>
      <c r="D274" s="17" t="s">
        <v>44</v>
      </c>
      <c r="E274" s="17" t="s">
        <v>853</v>
      </c>
      <c r="F274" s="17" t="s">
        <v>854</v>
      </c>
      <c r="G274" s="17" t="s">
        <v>855</v>
      </c>
      <c r="H274" s="17" t="s">
        <v>847</v>
      </c>
      <c r="I274" s="17" t="s">
        <v>105</v>
      </c>
      <c r="J274" s="17" t="s">
        <v>74</v>
      </c>
      <c r="K274" s="17" t="s">
        <v>855</v>
      </c>
    </row>
    <row r="275" customFormat="false" ht="38" hidden="false" customHeight="true" outlineLevel="0" collapsed="false">
      <c r="A275" s="17" t="s">
        <v>856</v>
      </c>
      <c r="B275" s="17" t="s">
        <v>843</v>
      </c>
      <c r="C275" s="17" t="s">
        <v>68</v>
      </c>
      <c r="D275" s="17" t="s">
        <v>44</v>
      </c>
      <c r="E275" s="17" t="s">
        <v>857</v>
      </c>
      <c r="F275" s="17" t="s">
        <v>858</v>
      </c>
      <c r="G275" s="17" t="s">
        <v>855</v>
      </c>
      <c r="H275" s="17" t="s">
        <v>847</v>
      </c>
      <c r="I275" s="17" t="s">
        <v>105</v>
      </c>
      <c r="J275" s="17" t="s">
        <v>74</v>
      </c>
      <c r="K275" s="17" t="s">
        <v>855</v>
      </c>
    </row>
    <row r="276" customFormat="false" ht="38" hidden="false" customHeight="true" outlineLevel="0" collapsed="false">
      <c r="A276" s="17" t="s">
        <v>859</v>
      </c>
      <c r="B276" s="17" t="s">
        <v>843</v>
      </c>
      <c r="C276" s="17" t="s">
        <v>68</v>
      </c>
      <c r="D276" s="17" t="s">
        <v>44</v>
      </c>
      <c r="E276" s="17" t="s">
        <v>860</v>
      </c>
      <c r="F276" s="17" t="s">
        <v>861</v>
      </c>
      <c r="G276" s="17" t="s">
        <v>855</v>
      </c>
      <c r="H276" s="17" t="s">
        <v>847</v>
      </c>
      <c r="I276" s="17" t="s">
        <v>105</v>
      </c>
      <c r="J276" s="17" t="s">
        <v>74</v>
      </c>
      <c r="K276" s="17" t="s">
        <v>855</v>
      </c>
    </row>
    <row r="277" customFormat="false" ht="38" hidden="false" customHeight="true" outlineLevel="0" collapsed="false">
      <c r="A277" s="17" t="s">
        <v>862</v>
      </c>
      <c r="B277" s="17" t="s">
        <v>843</v>
      </c>
      <c r="C277" s="17" t="s">
        <v>68</v>
      </c>
      <c r="D277" s="17" t="s">
        <v>44</v>
      </c>
      <c r="E277" s="17" t="s">
        <v>863</v>
      </c>
      <c r="F277" s="17" t="s">
        <v>864</v>
      </c>
      <c r="G277" s="17" t="s">
        <v>855</v>
      </c>
      <c r="H277" s="17" t="s">
        <v>847</v>
      </c>
      <c r="I277" s="17" t="s">
        <v>105</v>
      </c>
      <c r="J277" s="17" t="s">
        <v>74</v>
      </c>
      <c r="K277" s="17" t="s">
        <v>855</v>
      </c>
    </row>
    <row r="278" customFormat="false" ht="38" hidden="false" customHeight="true" outlineLevel="0" collapsed="false">
      <c r="A278" s="17" t="s">
        <v>865</v>
      </c>
      <c r="B278" s="17" t="s">
        <v>843</v>
      </c>
      <c r="C278" s="17" t="s">
        <v>68</v>
      </c>
      <c r="D278" s="17" t="s">
        <v>44</v>
      </c>
      <c r="E278" s="17" t="s">
        <v>866</v>
      </c>
      <c r="F278" s="17" t="s">
        <v>867</v>
      </c>
      <c r="G278" s="17" t="s">
        <v>868</v>
      </c>
      <c r="H278" s="17" t="s">
        <v>847</v>
      </c>
      <c r="I278" s="17" t="s">
        <v>105</v>
      </c>
      <c r="J278" s="17" t="s">
        <v>74</v>
      </c>
      <c r="K278" s="17" t="s">
        <v>868</v>
      </c>
    </row>
    <row r="279" customFormat="false" ht="38" hidden="false" customHeight="true" outlineLevel="0" collapsed="false">
      <c r="A279" s="17" t="s">
        <v>869</v>
      </c>
      <c r="B279" s="17" t="s">
        <v>843</v>
      </c>
      <c r="C279" s="17" t="s">
        <v>68</v>
      </c>
      <c r="D279" s="17" t="s">
        <v>44</v>
      </c>
      <c r="E279" s="17" t="s">
        <v>870</v>
      </c>
      <c r="F279" s="17" t="s">
        <v>871</v>
      </c>
      <c r="G279" s="17" t="s">
        <v>868</v>
      </c>
      <c r="H279" s="17" t="s">
        <v>847</v>
      </c>
      <c r="I279" s="17" t="s">
        <v>105</v>
      </c>
      <c r="J279" s="17" t="s">
        <v>74</v>
      </c>
      <c r="K279" s="17" t="s">
        <v>868</v>
      </c>
    </row>
    <row r="280" customFormat="false" ht="38" hidden="false" customHeight="true" outlineLevel="0" collapsed="false">
      <c r="A280" s="17" t="s">
        <v>872</v>
      </c>
      <c r="B280" s="17" t="s">
        <v>843</v>
      </c>
      <c r="C280" s="17" t="s">
        <v>68</v>
      </c>
      <c r="D280" s="17" t="s">
        <v>44</v>
      </c>
      <c r="E280" s="17" t="s">
        <v>873</v>
      </c>
      <c r="F280" s="17" t="s">
        <v>874</v>
      </c>
      <c r="G280" s="17" t="s">
        <v>868</v>
      </c>
      <c r="H280" s="17" t="s">
        <v>847</v>
      </c>
      <c r="I280" s="17" t="s">
        <v>105</v>
      </c>
      <c r="J280" s="17" t="s">
        <v>74</v>
      </c>
      <c r="K280" s="17" t="s">
        <v>868</v>
      </c>
    </row>
    <row r="281" customFormat="false" ht="38" hidden="false" customHeight="true" outlineLevel="0" collapsed="false">
      <c r="A281" s="17" t="s">
        <v>875</v>
      </c>
      <c r="B281" s="17" t="s">
        <v>843</v>
      </c>
      <c r="C281" s="17" t="s">
        <v>68</v>
      </c>
      <c r="D281" s="17" t="s">
        <v>44</v>
      </c>
      <c r="E281" s="17" t="s">
        <v>876</v>
      </c>
      <c r="F281" s="17" t="s">
        <v>877</v>
      </c>
      <c r="G281" s="17" t="s">
        <v>868</v>
      </c>
      <c r="H281" s="17" t="s">
        <v>847</v>
      </c>
      <c r="I281" s="17" t="s">
        <v>105</v>
      </c>
      <c r="J281" s="17" t="s">
        <v>74</v>
      </c>
      <c r="K281" s="17" t="s">
        <v>868</v>
      </c>
    </row>
    <row r="282" customFormat="false" ht="38" hidden="false" customHeight="true" outlineLevel="0" collapsed="false">
      <c r="A282" s="17" t="s">
        <v>878</v>
      </c>
      <c r="B282" s="17" t="s">
        <v>843</v>
      </c>
      <c r="C282" s="17" t="s">
        <v>68</v>
      </c>
      <c r="D282" s="17" t="s">
        <v>44</v>
      </c>
      <c r="E282" s="17" t="s">
        <v>879</v>
      </c>
      <c r="F282" s="17" t="s">
        <v>880</v>
      </c>
      <c r="G282" s="17" t="s">
        <v>881</v>
      </c>
      <c r="H282" s="17" t="s">
        <v>847</v>
      </c>
      <c r="I282" s="17" t="s">
        <v>105</v>
      </c>
      <c r="J282" s="17" t="s">
        <v>74</v>
      </c>
      <c r="K282" s="17" t="s">
        <v>881</v>
      </c>
    </row>
    <row r="283" customFormat="false" ht="38" hidden="false" customHeight="true" outlineLevel="0" collapsed="false">
      <c r="A283" s="17" t="s">
        <v>882</v>
      </c>
      <c r="B283" s="17" t="s">
        <v>843</v>
      </c>
      <c r="C283" s="17" t="s">
        <v>68</v>
      </c>
      <c r="D283" s="17" t="s">
        <v>44</v>
      </c>
      <c r="E283" s="17" t="s">
        <v>883</v>
      </c>
      <c r="F283" s="17" t="s">
        <v>884</v>
      </c>
      <c r="G283" s="17" t="s">
        <v>885</v>
      </c>
      <c r="H283" s="17" t="s">
        <v>847</v>
      </c>
      <c r="I283" s="17" t="s">
        <v>105</v>
      </c>
      <c r="J283" s="17" t="s">
        <v>74</v>
      </c>
      <c r="K283" s="17" t="s">
        <v>885</v>
      </c>
    </row>
    <row r="284" customFormat="false" ht="38" hidden="false" customHeight="true" outlineLevel="0" collapsed="false">
      <c r="A284" s="17" t="s">
        <v>886</v>
      </c>
      <c r="B284" s="17" t="s">
        <v>843</v>
      </c>
      <c r="C284" s="17" t="s">
        <v>68</v>
      </c>
      <c r="D284" s="17" t="s">
        <v>44</v>
      </c>
      <c r="E284" s="17" t="s">
        <v>887</v>
      </c>
      <c r="F284" s="17" t="s">
        <v>888</v>
      </c>
      <c r="G284" s="17" t="s">
        <v>889</v>
      </c>
      <c r="H284" s="17" t="s">
        <v>847</v>
      </c>
      <c r="I284" s="17" t="s">
        <v>105</v>
      </c>
      <c r="J284" s="17" t="s">
        <v>74</v>
      </c>
      <c r="K284" s="17" t="s">
        <v>889</v>
      </c>
    </row>
    <row r="285" customFormat="false" ht="38" hidden="false" customHeight="true" outlineLevel="0" collapsed="false">
      <c r="A285" s="17" t="s">
        <v>890</v>
      </c>
      <c r="B285" s="17" t="s">
        <v>843</v>
      </c>
      <c r="C285" s="17" t="s">
        <v>68</v>
      </c>
      <c r="D285" s="17" t="s">
        <v>44</v>
      </c>
      <c r="E285" s="17" t="s">
        <v>891</v>
      </c>
      <c r="F285" s="17" t="s">
        <v>892</v>
      </c>
      <c r="G285" s="17" t="s">
        <v>893</v>
      </c>
      <c r="H285" s="17" t="s">
        <v>847</v>
      </c>
      <c r="I285" s="17" t="s">
        <v>105</v>
      </c>
      <c r="J285" s="17" t="s">
        <v>74</v>
      </c>
      <c r="K285" s="17" t="s">
        <v>893</v>
      </c>
    </row>
    <row r="286" customFormat="false" ht="38" hidden="false" customHeight="true" outlineLevel="0" collapsed="false">
      <c r="A286" s="17" t="s">
        <v>894</v>
      </c>
      <c r="B286" s="17" t="s">
        <v>843</v>
      </c>
      <c r="C286" s="17" t="s">
        <v>68</v>
      </c>
      <c r="D286" s="17" t="s">
        <v>44</v>
      </c>
      <c r="E286" s="17" t="s">
        <v>895</v>
      </c>
      <c r="F286" s="17" t="s">
        <v>896</v>
      </c>
      <c r="G286" s="17" t="s">
        <v>897</v>
      </c>
      <c r="H286" s="17" t="s">
        <v>847</v>
      </c>
      <c r="I286" s="17" t="s">
        <v>105</v>
      </c>
      <c r="J286" s="17" t="s">
        <v>74</v>
      </c>
      <c r="K286" s="17" t="s">
        <v>897</v>
      </c>
    </row>
    <row r="287" customFormat="false" ht="38" hidden="false" customHeight="true" outlineLevel="0" collapsed="false">
      <c r="A287" s="17" t="s">
        <v>898</v>
      </c>
      <c r="B287" s="17" t="s">
        <v>843</v>
      </c>
      <c r="C287" s="17" t="s">
        <v>68</v>
      </c>
      <c r="D287" s="17" t="s">
        <v>44</v>
      </c>
      <c r="E287" s="17" t="s">
        <v>899</v>
      </c>
      <c r="F287" s="17" t="s">
        <v>900</v>
      </c>
      <c r="G287" s="17" t="s">
        <v>901</v>
      </c>
      <c r="H287" s="17" t="s">
        <v>847</v>
      </c>
      <c r="I287" s="17" t="s">
        <v>105</v>
      </c>
      <c r="J287" s="17" t="s">
        <v>74</v>
      </c>
      <c r="K287" s="17" t="s">
        <v>901</v>
      </c>
    </row>
    <row r="288" customFormat="false" ht="38" hidden="false" customHeight="true" outlineLevel="0" collapsed="false">
      <c r="A288" s="17" t="s">
        <v>902</v>
      </c>
      <c r="B288" s="17" t="s">
        <v>843</v>
      </c>
      <c r="C288" s="17" t="s">
        <v>68</v>
      </c>
      <c r="D288" s="17" t="s">
        <v>44</v>
      </c>
      <c r="E288" s="17" t="s">
        <v>903</v>
      </c>
      <c r="F288" s="17" t="s">
        <v>904</v>
      </c>
      <c r="G288" s="17" t="s">
        <v>905</v>
      </c>
      <c r="H288" s="17" t="s">
        <v>847</v>
      </c>
      <c r="I288" s="17" t="s">
        <v>105</v>
      </c>
      <c r="J288" s="17" t="s">
        <v>74</v>
      </c>
      <c r="K288" s="17" t="s">
        <v>905</v>
      </c>
    </row>
    <row r="289" customFormat="false" ht="38" hidden="false" customHeight="true" outlineLevel="0" collapsed="false">
      <c r="A289" s="17" t="s">
        <v>906</v>
      </c>
      <c r="B289" s="17" t="s">
        <v>843</v>
      </c>
      <c r="C289" s="17" t="s">
        <v>68</v>
      </c>
      <c r="D289" s="17" t="s">
        <v>44</v>
      </c>
      <c r="E289" s="17" t="s">
        <v>907</v>
      </c>
      <c r="F289" s="17" t="s">
        <v>908</v>
      </c>
      <c r="G289" s="17" t="s">
        <v>909</v>
      </c>
      <c r="H289" s="17" t="s">
        <v>847</v>
      </c>
      <c r="I289" s="17" t="s">
        <v>105</v>
      </c>
      <c r="J289" s="17" t="s">
        <v>74</v>
      </c>
      <c r="K289" s="17" t="s">
        <v>909</v>
      </c>
    </row>
    <row r="290" customFormat="false" ht="38" hidden="false" customHeight="true" outlineLevel="0" collapsed="false">
      <c r="A290" s="17" t="s">
        <v>910</v>
      </c>
      <c r="B290" s="17" t="s">
        <v>843</v>
      </c>
      <c r="C290" s="17" t="s">
        <v>68</v>
      </c>
      <c r="D290" s="17" t="s">
        <v>44</v>
      </c>
      <c r="E290" s="17" t="s">
        <v>911</v>
      </c>
      <c r="F290" s="17" t="s">
        <v>912</v>
      </c>
      <c r="G290" s="17" t="s">
        <v>913</v>
      </c>
      <c r="H290" s="17" t="s">
        <v>847</v>
      </c>
      <c r="I290" s="17" t="s">
        <v>105</v>
      </c>
      <c r="J290" s="17" t="s">
        <v>74</v>
      </c>
      <c r="K290" s="17" t="s">
        <v>913</v>
      </c>
    </row>
    <row r="291" customFormat="false" ht="38" hidden="false" customHeight="true" outlineLevel="0" collapsed="false">
      <c r="A291" s="17" t="s">
        <v>914</v>
      </c>
      <c r="B291" s="17" t="s">
        <v>843</v>
      </c>
      <c r="C291" s="17" t="s">
        <v>68</v>
      </c>
      <c r="D291" s="17" t="s">
        <v>44</v>
      </c>
      <c r="E291" s="17" t="s">
        <v>915</v>
      </c>
      <c r="F291" s="17" t="s">
        <v>916</v>
      </c>
      <c r="G291" s="17" t="s">
        <v>917</v>
      </c>
      <c r="H291" s="17" t="s">
        <v>847</v>
      </c>
      <c r="I291" s="17" t="s">
        <v>105</v>
      </c>
      <c r="J291" s="17" t="s">
        <v>74</v>
      </c>
      <c r="K291" s="17" t="s">
        <v>917</v>
      </c>
    </row>
    <row r="292" customFormat="false" ht="38" hidden="false" customHeight="true" outlineLevel="0" collapsed="false">
      <c r="A292" s="17" t="s">
        <v>918</v>
      </c>
      <c r="B292" s="17" t="s">
        <v>919</v>
      </c>
      <c r="C292" s="17" t="s">
        <v>68</v>
      </c>
      <c r="D292" s="17" t="s">
        <v>45</v>
      </c>
      <c r="E292" s="17" t="s">
        <v>920</v>
      </c>
      <c r="F292" s="17" t="s">
        <v>921</v>
      </c>
      <c r="G292" s="17" t="s">
        <v>922</v>
      </c>
      <c r="H292" s="17" t="s">
        <v>72</v>
      </c>
      <c r="I292" s="17" t="s">
        <v>73</v>
      </c>
      <c r="J292" s="17" t="s">
        <v>74</v>
      </c>
      <c r="K292" s="17" t="s">
        <v>923</v>
      </c>
    </row>
    <row r="293" customFormat="false" ht="38" hidden="false" customHeight="true" outlineLevel="0" collapsed="false">
      <c r="A293" s="17" t="s">
        <v>924</v>
      </c>
      <c r="B293" s="17" t="s">
        <v>919</v>
      </c>
      <c r="C293" s="17" t="s">
        <v>68</v>
      </c>
      <c r="D293" s="17" t="s">
        <v>45</v>
      </c>
      <c r="E293" s="17" t="s">
        <v>925</v>
      </c>
      <c r="F293" s="17" t="s">
        <v>921</v>
      </c>
      <c r="G293" s="17" t="s">
        <v>926</v>
      </c>
      <c r="H293" s="17" t="s">
        <v>72</v>
      </c>
      <c r="I293" s="17" t="s">
        <v>73</v>
      </c>
      <c r="J293" s="17" t="s">
        <v>74</v>
      </c>
      <c r="K293" s="17" t="s">
        <v>927</v>
      </c>
    </row>
    <row r="294" customFormat="false" ht="38" hidden="false" customHeight="true" outlineLevel="0" collapsed="false">
      <c r="A294" s="17" t="s">
        <v>928</v>
      </c>
      <c r="B294" s="17" t="s">
        <v>919</v>
      </c>
      <c r="C294" s="17" t="s">
        <v>68</v>
      </c>
      <c r="D294" s="17" t="s">
        <v>45</v>
      </c>
      <c r="E294" s="17" t="s">
        <v>929</v>
      </c>
      <c r="F294" s="17" t="s">
        <v>921</v>
      </c>
      <c r="G294" s="17" t="s">
        <v>930</v>
      </c>
      <c r="H294" s="17" t="s">
        <v>72</v>
      </c>
      <c r="I294" s="17" t="s">
        <v>73</v>
      </c>
      <c r="J294" s="17" t="s">
        <v>74</v>
      </c>
      <c r="K294" s="17" t="s">
        <v>931</v>
      </c>
    </row>
    <row r="295" customFormat="false" ht="38" hidden="false" customHeight="true" outlineLevel="0" collapsed="false">
      <c r="A295" s="17" t="s">
        <v>932</v>
      </c>
      <c r="B295" s="17" t="s">
        <v>919</v>
      </c>
      <c r="C295" s="17" t="s">
        <v>68</v>
      </c>
      <c r="D295" s="17" t="s">
        <v>45</v>
      </c>
      <c r="E295" s="17" t="s">
        <v>933</v>
      </c>
      <c r="F295" s="17" t="s">
        <v>921</v>
      </c>
      <c r="G295" s="17" t="s">
        <v>934</v>
      </c>
      <c r="H295" s="17" t="s">
        <v>72</v>
      </c>
      <c r="I295" s="17" t="s">
        <v>73</v>
      </c>
      <c r="J295" s="17" t="s">
        <v>74</v>
      </c>
      <c r="K295" s="17" t="s">
        <v>935</v>
      </c>
    </row>
    <row r="296" customFormat="false" ht="38" hidden="false" customHeight="true" outlineLevel="0" collapsed="false">
      <c r="A296" s="17" t="s">
        <v>936</v>
      </c>
      <c r="B296" s="17" t="s">
        <v>919</v>
      </c>
      <c r="C296" s="17" t="s">
        <v>68</v>
      </c>
      <c r="D296" s="17" t="s">
        <v>45</v>
      </c>
      <c r="E296" s="17" t="s">
        <v>937</v>
      </c>
      <c r="F296" s="17" t="s">
        <v>921</v>
      </c>
      <c r="G296" s="17" t="s">
        <v>938</v>
      </c>
      <c r="H296" s="17" t="s">
        <v>72</v>
      </c>
      <c r="I296" s="17" t="s">
        <v>73</v>
      </c>
      <c r="J296" s="17" t="s">
        <v>74</v>
      </c>
      <c r="K296" s="17" t="s">
        <v>939</v>
      </c>
    </row>
    <row r="297" customFormat="false" ht="38" hidden="false" customHeight="true" outlineLevel="0" collapsed="false">
      <c r="A297" s="17" t="s">
        <v>940</v>
      </c>
      <c r="B297" s="17" t="s">
        <v>919</v>
      </c>
      <c r="C297" s="17" t="s">
        <v>68</v>
      </c>
      <c r="D297" s="17" t="s">
        <v>45</v>
      </c>
      <c r="E297" s="17" t="s">
        <v>941</v>
      </c>
      <c r="F297" s="17" t="s">
        <v>921</v>
      </c>
      <c r="G297" s="17" t="s">
        <v>942</v>
      </c>
      <c r="H297" s="17" t="s">
        <v>72</v>
      </c>
      <c r="I297" s="17" t="s">
        <v>73</v>
      </c>
      <c r="J297" s="17" t="s">
        <v>74</v>
      </c>
      <c r="K297" s="17" t="s">
        <v>943</v>
      </c>
    </row>
    <row r="298" customFormat="false" ht="38" hidden="false" customHeight="true" outlineLevel="0" collapsed="false">
      <c r="A298" s="17" t="s">
        <v>944</v>
      </c>
      <c r="B298" s="17" t="s">
        <v>919</v>
      </c>
      <c r="C298" s="17" t="s">
        <v>68</v>
      </c>
      <c r="D298" s="17" t="s">
        <v>45</v>
      </c>
      <c r="E298" s="17" t="s">
        <v>945</v>
      </c>
      <c r="F298" s="17" t="s">
        <v>921</v>
      </c>
      <c r="G298" s="17" t="s">
        <v>946</v>
      </c>
      <c r="H298" s="17" t="s">
        <v>72</v>
      </c>
      <c r="I298" s="17" t="s">
        <v>73</v>
      </c>
      <c r="J298" s="17" t="s">
        <v>74</v>
      </c>
      <c r="K298" s="17" t="s">
        <v>947</v>
      </c>
    </row>
    <row r="299" customFormat="false" ht="38" hidden="false" customHeight="true" outlineLevel="0" collapsed="false">
      <c r="A299" s="17" t="s">
        <v>948</v>
      </c>
      <c r="B299" s="17" t="s">
        <v>919</v>
      </c>
      <c r="C299" s="17" t="s">
        <v>68</v>
      </c>
      <c r="D299" s="17" t="s">
        <v>45</v>
      </c>
      <c r="E299" s="17" t="s">
        <v>949</v>
      </c>
      <c r="F299" s="17" t="s">
        <v>921</v>
      </c>
      <c r="G299" s="17" t="s">
        <v>950</v>
      </c>
      <c r="H299" s="17" t="s">
        <v>72</v>
      </c>
      <c r="I299" s="17" t="s">
        <v>73</v>
      </c>
      <c r="J299" s="17" t="s">
        <v>74</v>
      </c>
      <c r="K299" s="17" t="s">
        <v>951</v>
      </c>
    </row>
    <row r="300" customFormat="false" ht="38" hidden="false" customHeight="true" outlineLevel="0" collapsed="false">
      <c r="A300" s="17" t="s">
        <v>952</v>
      </c>
      <c r="B300" s="17" t="s">
        <v>919</v>
      </c>
      <c r="C300" s="17" t="s">
        <v>68</v>
      </c>
      <c r="D300" s="17" t="s">
        <v>45</v>
      </c>
      <c r="E300" s="17" t="s">
        <v>953</v>
      </c>
      <c r="F300" s="17" t="s">
        <v>921</v>
      </c>
      <c r="G300" s="17" t="s">
        <v>954</v>
      </c>
      <c r="H300" s="17" t="s">
        <v>72</v>
      </c>
      <c r="I300" s="17" t="s">
        <v>73</v>
      </c>
      <c r="J300" s="17" t="s">
        <v>74</v>
      </c>
      <c r="K300" s="17" t="s">
        <v>955</v>
      </c>
    </row>
    <row r="301" customFormat="false" ht="38" hidden="false" customHeight="true" outlineLevel="0" collapsed="false">
      <c r="A301" s="17" t="s">
        <v>956</v>
      </c>
      <c r="B301" s="17" t="s">
        <v>919</v>
      </c>
      <c r="C301" s="17" t="s">
        <v>68</v>
      </c>
      <c r="D301" s="17" t="s">
        <v>45</v>
      </c>
      <c r="E301" s="17" t="s">
        <v>957</v>
      </c>
      <c r="F301" s="17" t="s">
        <v>921</v>
      </c>
      <c r="G301" s="17" t="s">
        <v>958</v>
      </c>
      <c r="H301" s="17" t="s">
        <v>72</v>
      </c>
      <c r="I301" s="17" t="s">
        <v>73</v>
      </c>
      <c r="J301" s="17" t="s">
        <v>74</v>
      </c>
      <c r="K301" s="17" t="s">
        <v>959</v>
      </c>
    </row>
    <row r="302" customFormat="false" ht="38" hidden="false" customHeight="true" outlineLevel="0" collapsed="false">
      <c r="A302" s="17" t="s">
        <v>960</v>
      </c>
      <c r="B302" s="17" t="s">
        <v>919</v>
      </c>
      <c r="C302" s="17" t="s">
        <v>68</v>
      </c>
      <c r="D302" s="17" t="s">
        <v>45</v>
      </c>
      <c r="E302" s="17" t="s">
        <v>961</v>
      </c>
      <c r="F302" s="17" t="s">
        <v>921</v>
      </c>
      <c r="G302" s="17" t="s">
        <v>962</v>
      </c>
      <c r="H302" s="17" t="s">
        <v>72</v>
      </c>
      <c r="I302" s="17" t="s">
        <v>73</v>
      </c>
      <c r="J302" s="17" t="s">
        <v>74</v>
      </c>
      <c r="K302" s="17" t="s">
        <v>963</v>
      </c>
    </row>
    <row r="303" customFormat="false" ht="38" hidden="false" customHeight="true" outlineLevel="0" collapsed="false">
      <c r="A303" s="17" t="s">
        <v>964</v>
      </c>
      <c r="B303" s="17" t="s">
        <v>919</v>
      </c>
      <c r="C303" s="17" t="s">
        <v>68</v>
      </c>
      <c r="D303" s="17" t="s">
        <v>45</v>
      </c>
      <c r="E303" s="17" t="s">
        <v>965</v>
      </c>
      <c r="F303" s="17" t="s">
        <v>921</v>
      </c>
      <c r="G303" s="17" t="s">
        <v>966</v>
      </c>
      <c r="H303" s="17" t="s">
        <v>72</v>
      </c>
      <c r="I303" s="17" t="s">
        <v>73</v>
      </c>
      <c r="J303" s="17" t="s">
        <v>74</v>
      </c>
      <c r="K303" s="17" t="s">
        <v>967</v>
      </c>
    </row>
    <row r="304" customFormat="false" ht="38" hidden="false" customHeight="true" outlineLevel="0" collapsed="false">
      <c r="A304" s="17" t="s">
        <v>968</v>
      </c>
      <c r="B304" s="17" t="s">
        <v>919</v>
      </c>
      <c r="C304" s="17" t="s">
        <v>68</v>
      </c>
      <c r="D304" s="17" t="s">
        <v>45</v>
      </c>
      <c r="E304" s="17" t="s">
        <v>969</v>
      </c>
      <c r="F304" s="17" t="s">
        <v>921</v>
      </c>
      <c r="G304" s="17" t="s">
        <v>970</v>
      </c>
      <c r="H304" s="17" t="s">
        <v>72</v>
      </c>
      <c r="I304" s="17" t="s">
        <v>73</v>
      </c>
      <c r="J304" s="17" t="s">
        <v>74</v>
      </c>
      <c r="K304" s="17" t="s">
        <v>971</v>
      </c>
    </row>
    <row r="305" customFormat="false" ht="38" hidden="false" customHeight="true" outlineLevel="0" collapsed="false">
      <c r="A305" s="17" t="s">
        <v>972</v>
      </c>
      <c r="B305" s="17" t="s">
        <v>919</v>
      </c>
      <c r="C305" s="17" t="s">
        <v>68</v>
      </c>
      <c r="D305" s="17" t="s">
        <v>45</v>
      </c>
      <c r="E305" s="17" t="s">
        <v>973</v>
      </c>
      <c r="F305" s="17" t="s">
        <v>921</v>
      </c>
      <c r="G305" s="17" t="s">
        <v>974</v>
      </c>
      <c r="H305" s="17" t="s">
        <v>72</v>
      </c>
      <c r="I305" s="17" t="s">
        <v>73</v>
      </c>
      <c r="J305" s="17" t="s">
        <v>74</v>
      </c>
      <c r="K305" s="17" t="s">
        <v>975</v>
      </c>
    </row>
  </sheetData>
  <mergeCells count="2">
    <mergeCell ref="A1:K1"/>
    <mergeCell ref="A2:K2"/>
  </mergeCells>
  <conditionalFormatting sqref="J6:J305">
    <cfRule type="containsText" priority="2" operator="containsText" aboveAverage="0" equalAverage="0" bottom="0" percent="0" rank="0" text="PASS" dxfId="18">
      <formula>NOT(ISERROR(SEARCH("PASS",J6)))</formula>
    </cfRule>
    <cfRule type="containsText" priority="3" operator="containsText" aboveAverage="0" equalAverage="0" bottom="0" percent="0" rank="0" text="APPROVED" dxfId="19">
      <formula>NOT(ISERROR(SEARCH("APPROVED",J6)))</formula>
    </cfRule>
    <cfRule type="containsText" priority="4" operator="containsText" aboveAverage="0" equalAverage="0" bottom="0" percent="0" rank="0" text="FAIL" dxfId="20">
      <formula>NOT(ISERROR(SEARCH("FAIL",J6)))</formula>
    </cfRule>
    <cfRule type="containsText" priority="5" operator="containsText" aboveAverage="0" equalAverage="0" bottom="0" percent="0" rank="0" text="BLOCKED" dxfId="21">
      <formula>NOT(ISERROR(SEARCH("BLOCKED",J6)))</formula>
    </cfRule>
    <cfRule type="containsText" priority="6" operator="containsText" aboveAverage="0" equalAverage="0" bottom="0" percent="0" rank="0" text="OPEN" dxfId="22">
      <formula>NOT(ISERROR(SEARCH("OPEN",J6)))</formula>
    </cfRule>
  </conditionalFormatting>
  <conditionalFormatting sqref="I6:I305">
    <cfRule type="containsText" priority="7" operator="containsText" aboveAverage="0" equalAverage="0" bottom="0" percent="0" rank="0" text="Critical" dxfId="23">
      <formula>NOT(ISERROR(SEARCH("Critical",I6)))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45"/>
    <col collapsed="false" customWidth="true" hidden="false" outlineLevel="0" max="7" min="4" style="0" width="12"/>
    <col collapsed="false" customWidth="true" hidden="false" outlineLevel="0" max="8" min="8" style="0" width="42"/>
  </cols>
  <sheetData>
    <row r="1" customFormat="false" ht="32" hidden="false" customHeight="true" outlineLevel="0" collapsed="false">
      <c r="A1" s="1" t="s">
        <v>976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977</v>
      </c>
      <c r="B2" s="2"/>
      <c r="C2" s="2"/>
      <c r="D2" s="2"/>
      <c r="E2" s="2"/>
      <c r="F2" s="2"/>
      <c r="G2" s="2"/>
      <c r="H2" s="2"/>
    </row>
    <row r="5" customFormat="false" ht="30" hidden="false" customHeight="true" outlineLevel="0" collapsed="false">
      <c r="A5" s="12" t="s">
        <v>56</v>
      </c>
      <c r="B5" s="13" t="s">
        <v>978</v>
      </c>
      <c r="C5" s="13" t="s">
        <v>979</v>
      </c>
      <c r="D5" s="13" t="s">
        <v>980</v>
      </c>
      <c r="E5" s="13" t="s">
        <v>981</v>
      </c>
      <c r="F5" s="13" t="s">
        <v>982</v>
      </c>
      <c r="G5" s="13" t="s">
        <v>64</v>
      </c>
      <c r="H5" s="14" t="s">
        <v>983</v>
      </c>
    </row>
    <row r="6" customFormat="false" ht="34" hidden="false" customHeight="true" outlineLevel="0" collapsed="false">
      <c r="A6" s="15" t="s">
        <v>830</v>
      </c>
      <c r="B6" s="15" t="s">
        <v>49</v>
      </c>
      <c r="C6" s="15" t="s">
        <v>831</v>
      </c>
      <c r="D6" s="15" t="n">
        <f aca="false">COUNTIF('Test Cases'!$B$6:$B$305,A6)</f>
        <v>1</v>
      </c>
      <c r="E6" s="15" t="n">
        <f aca="false">COUNTIFS('Test Cases'!$B$6:$B$305,A6,'Test Cases'!$J$6:$J$305,"PASS")</f>
        <v>1</v>
      </c>
      <c r="F6" s="15" t="n">
        <f aca="false">COUNTIFS('Test Cases'!$B$6:$B$305,A6,'Test Cases'!$J$6:$J$305,"FAIL")</f>
        <v>0</v>
      </c>
      <c r="G6" s="15" t="str">
        <f aca="false">IF(F6=0,"PASS","FAIL")</f>
        <v>PASS</v>
      </c>
      <c r="H6" s="15" t="s">
        <v>109</v>
      </c>
    </row>
    <row r="7" customFormat="false" ht="34" hidden="false" customHeight="true" outlineLevel="0" collapsed="false">
      <c r="A7" s="17" t="s">
        <v>835</v>
      </c>
      <c r="B7" s="17" t="s">
        <v>49</v>
      </c>
      <c r="C7" s="17" t="s">
        <v>836</v>
      </c>
      <c r="D7" s="17" t="n">
        <f aca="false">COUNTIF('Test Cases'!$B$6:$B$305,A7)</f>
        <v>1</v>
      </c>
      <c r="E7" s="17" t="n">
        <f aca="false">COUNTIFS('Test Cases'!$B$6:$B$305,A7,'Test Cases'!$J$6:$J$305,"PASS")</f>
        <v>1</v>
      </c>
      <c r="F7" s="17" t="n">
        <f aca="false">COUNTIFS('Test Cases'!$B$6:$B$305,A7,'Test Cases'!$J$6:$J$305,"FAIL")</f>
        <v>0</v>
      </c>
      <c r="G7" s="17" t="str">
        <f aca="false">IF(F7=0,"PASS","FAIL")</f>
        <v>PASS</v>
      </c>
      <c r="H7" s="17" t="s">
        <v>838</v>
      </c>
    </row>
    <row r="8" customFormat="false" ht="34" hidden="false" customHeight="true" outlineLevel="0" collapsed="false">
      <c r="A8" s="17" t="s">
        <v>840</v>
      </c>
      <c r="B8" s="17" t="s">
        <v>49</v>
      </c>
      <c r="C8" s="17" t="s">
        <v>841</v>
      </c>
      <c r="D8" s="17" t="n">
        <f aca="false">COUNTIF('Test Cases'!$B$6:$B$305,A8)</f>
        <v>1</v>
      </c>
      <c r="E8" s="17" t="n">
        <f aca="false">COUNTIFS('Test Cases'!$B$6:$B$305,A8,'Test Cases'!$J$6:$J$305,"PASS")</f>
        <v>1</v>
      </c>
      <c r="F8" s="17" t="n">
        <f aca="false">COUNTIFS('Test Cases'!$B$6:$B$305,A8,'Test Cases'!$J$6:$J$305,"FAIL")</f>
        <v>0</v>
      </c>
      <c r="G8" s="17" t="str">
        <f aca="false">IF(F8=0,"PASS","FAIL")</f>
        <v>PASS</v>
      </c>
      <c r="H8" s="17" t="s">
        <v>838</v>
      </c>
    </row>
    <row r="9" customFormat="false" ht="34" hidden="false" customHeight="true" outlineLevel="0" collapsed="false">
      <c r="A9" s="17" t="s">
        <v>264</v>
      </c>
      <c r="B9" s="17" t="s">
        <v>40</v>
      </c>
      <c r="C9" s="17" t="s">
        <v>265</v>
      </c>
      <c r="D9" s="17" t="n">
        <f aca="false">COUNTIF('Test Cases'!$B$6:$B$305,A9)</f>
        <v>5</v>
      </c>
      <c r="E9" s="17" t="n">
        <f aca="false">COUNTIFS('Test Cases'!$B$6:$B$305,A9,'Test Cases'!$J$6:$J$305,"PASS")</f>
        <v>5</v>
      </c>
      <c r="F9" s="17" t="n">
        <f aca="false">COUNTIFS('Test Cases'!$B$6:$B$305,A9,'Test Cases'!$J$6:$J$305,"FAIL")</f>
        <v>0</v>
      </c>
      <c r="G9" s="17" t="str">
        <f aca="false">IF(F9=0,"PASS","FAIL")</f>
        <v>PASS</v>
      </c>
      <c r="H9" s="17" t="s">
        <v>99</v>
      </c>
    </row>
    <row r="10" customFormat="false" ht="34" hidden="false" customHeight="true" outlineLevel="0" collapsed="false">
      <c r="A10" s="17" t="s">
        <v>267</v>
      </c>
      <c r="B10" s="17" t="s">
        <v>40</v>
      </c>
      <c r="C10" s="17" t="s">
        <v>268</v>
      </c>
      <c r="D10" s="17" t="n">
        <f aca="false">COUNTIF('Test Cases'!$B$6:$B$305,A10)</f>
        <v>5</v>
      </c>
      <c r="E10" s="17" t="n">
        <f aca="false">COUNTIFS('Test Cases'!$B$6:$B$305,A10,'Test Cases'!$J$6:$J$305,"PASS")</f>
        <v>5</v>
      </c>
      <c r="F10" s="17" t="n">
        <f aca="false">COUNTIFS('Test Cases'!$B$6:$B$305,A10,'Test Cases'!$J$6:$J$305,"FAIL")</f>
        <v>0</v>
      </c>
      <c r="G10" s="17" t="str">
        <f aca="false">IF(F10=0,"PASS","FAIL")</f>
        <v>PASS</v>
      </c>
      <c r="H10" s="17" t="s">
        <v>270</v>
      </c>
    </row>
    <row r="11" customFormat="false" ht="34" hidden="false" customHeight="true" outlineLevel="0" collapsed="false">
      <c r="A11" s="17" t="s">
        <v>272</v>
      </c>
      <c r="B11" s="17" t="s">
        <v>40</v>
      </c>
      <c r="C11" s="17" t="s">
        <v>273</v>
      </c>
      <c r="D11" s="17" t="n">
        <f aca="false">COUNTIF('Test Cases'!$B$6:$B$305,A11)</f>
        <v>5</v>
      </c>
      <c r="E11" s="17" t="n">
        <f aca="false">COUNTIFS('Test Cases'!$B$6:$B$305,A11,'Test Cases'!$J$6:$J$305,"PASS")</f>
        <v>5</v>
      </c>
      <c r="F11" s="17" t="n">
        <f aca="false">COUNTIFS('Test Cases'!$B$6:$B$305,A11,'Test Cases'!$J$6:$J$305,"FAIL")</f>
        <v>0</v>
      </c>
      <c r="G11" s="17" t="str">
        <f aca="false">IF(F11=0,"PASS","FAIL")</f>
        <v>PASS</v>
      </c>
      <c r="H11" s="17" t="s">
        <v>270</v>
      </c>
    </row>
    <row r="12" customFormat="false" ht="34" hidden="false" customHeight="true" outlineLevel="0" collapsed="false">
      <c r="A12" s="17" t="s">
        <v>276</v>
      </c>
      <c r="B12" s="17" t="s">
        <v>40</v>
      </c>
      <c r="C12" s="17" t="s">
        <v>277</v>
      </c>
      <c r="D12" s="17" t="n">
        <f aca="false">COUNTIF('Test Cases'!$B$6:$B$305,A12)</f>
        <v>5</v>
      </c>
      <c r="E12" s="17" t="n">
        <f aca="false">COUNTIFS('Test Cases'!$B$6:$B$305,A12,'Test Cases'!$J$6:$J$305,"PASS")</f>
        <v>5</v>
      </c>
      <c r="F12" s="17" t="n">
        <f aca="false">COUNTIFS('Test Cases'!$B$6:$B$305,A12,'Test Cases'!$J$6:$J$305,"FAIL")</f>
        <v>0</v>
      </c>
      <c r="G12" s="17" t="str">
        <f aca="false">IF(F12=0,"PASS","FAIL")</f>
        <v>PASS</v>
      </c>
      <c r="H12" s="17" t="s">
        <v>279</v>
      </c>
    </row>
    <row r="13" customFormat="false" ht="34" hidden="false" customHeight="true" outlineLevel="0" collapsed="false">
      <c r="A13" s="17" t="s">
        <v>281</v>
      </c>
      <c r="B13" s="17" t="s">
        <v>40</v>
      </c>
      <c r="C13" s="17" t="s">
        <v>282</v>
      </c>
      <c r="D13" s="17" t="n">
        <f aca="false">COUNTIF('Test Cases'!$B$6:$B$305,A13)</f>
        <v>5</v>
      </c>
      <c r="E13" s="17" t="n">
        <f aca="false">COUNTIFS('Test Cases'!$B$6:$B$305,A13,'Test Cases'!$J$6:$J$305,"PASS")</f>
        <v>5</v>
      </c>
      <c r="F13" s="17" t="n">
        <f aca="false">COUNTIFS('Test Cases'!$B$6:$B$305,A13,'Test Cases'!$J$6:$J$305,"FAIL")</f>
        <v>0</v>
      </c>
      <c r="G13" s="17" t="str">
        <f aca="false">IF(F13=0,"PASS","FAIL")</f>
        <v>PASS</v>
      </c>
      <c r="H13" s="17" t="s">
        <v>279</v>
      </c>
    </row>
    <row r="14" customFormat="false" ht="34" hidden="false" customHeight="true" outlineLevel="0" collapsed="false">
      <c r="A14" s="17" t="s">
        <v>284</v>
      </c>
      <c r="B14" s="17" t="s">
        <v>40</v>
      </c>
      <c r="C14" s="17" t="s">
        <v>285</v>
      </c>
      <c r="D14" s="17" t="n">
        <f aca="false">COUNTIF('Test Cases'!$B$6:$B$305,A14)</f>
        <v>5</v>
      </c>
      <c r="E14" s="17" t="n">
        <f aca="false">COUNTIFS('Test Cases'!$B$6:$B$305,A14,'Test Cases'!$J$6:$J$305,"PASS")</f>
        <v>5</v>
      </c>
      <c r="F14" s="17" t="n">
        <f aca="false">COUNTIFS('Test Cases'!$B$6:$B$305,A14,'Test Cases'!$J$6:$J$305,"FAIL")</f>
        <v>0</v>
      </c>
      <c r="G14" s="17" t="str">
        <f aca="false">IF(F14=0,"PASS","FAIL")</f>
        <v>PASS</v>
      </c>
      <c r="H14" s="17" t="s">
        <v>287</v>
      </c>
    </row>
    <row r="15" customFormat="false" ht="34" hidden="false" customHeight="true" outlineLevel="0" collapsed="false">
      <c r="A15" s="17" t="s">
        <v>289</v>
      </c>
      <c r="B15" s="17" t="s">
        <v>40</v>
      </c>
      <c r="C15" s="17" t="s">
        <v>290</v>
      </c>
      <c r="D15" s="17" t="n">
        <f aca="false">COUNTIF('Test Cases'!$B$6:$B$305,A15)</f>
        <v>5</v>
      </c>
      <c r="E15" s="17" t="n">
        <f aca="false">COUNTIFS('Test Cases'!$B$6:$B$305,A15,'Test Cases'!$J$6:$J$305,"PASS")</f>
        <v>5</v>
      </c>
      <c r="F15" s="17" t="n">
        <f aca="false">COUNTIFS('Test Cases'!$B$6:$B$305,A15,'Test Cases'!$J$6:$J$305,"FAIL")</f>
        <v>0</v>
      </c>
      <c r="G15" s="17" t="str">
        <f aca="false">IF(F15=0,"PASS","FAIL")</f>
        <v>PASS</v>
      </c>
      <c r="H15" s="17" t="s">
        <v>291</v>
      </c>
    </row>
    <row r="16" customFormat="false" ht="34" hidden="false" customHeight="true" outlineLevel="0" collapsed="false">
      <c r="A16" s="17" t="s">
        <v>293</v>
      </c>
      <c r="B16" s="17" t="s">
        <v>40</v>
      </c>
      <c r="C16" s="17" t="s">
        <v>294</v>
      </c>
      <c r="D16" s="17" t="n">
        <f aca="false">COUNTIF('Test Cases'!$B$6:$B$305,A16)</f>
        <v>5</v>
      </c>
      <c r="E16" s="17" t="n">
        <f aca="false">COUNTIFS('Test Cases'!$B$6:$B$305,A16,'Test Cases'!$J$6:$J$305,"PASS")</f>
        <v>5</v>
      </c>
      <c r="F16" s="17" t="n">
        <f aca="false">COUNTIFS('Test Cases'!$B$6:$B$305,A16,'Test Cases'!$J$6:$J$305,"FAIL")</f>
        <v>0</v>
      </c>
      <c r="G16" s="17" t="str">
        <f aca="false">IF(F16=0,"PASS","FAIL")</f>
        <v>PASS</v>
      </c>
      <c r="H16" s="17" t="s">
        <v>295</v>
      </c>
    </row>
    <row r="17" customFormat="false" ht="34" hidden="false" customHeight="true" outlineLevel="0" collapsed="false">
      <c r="A17" s="17" t="s">
        <v>297</v>
      </c>
      <c r="B17" s="17" t="s">
        <v>40</v>
      </c>
      <c r="C17" s="17" t="s">
        <v>298</v>
      </c>
      <c r="D17" s="17" t="n">
        <f aca="false">COUNTIF('Test Cases'!$B$6:$B$305,A17)</f>
        <v>5</v>
      </c>
      <c r="E17" s="17" t="n">
        <f aca="false">COUNTIFS('Test Cases'!$B$6:$B$305,A17,'Test Cases'!$J$6:$J$305,"PASS")</f>
        <v>5</v>
      </c>
      <c r="F17" s="17" t="n">
        <f aca="false">COUNTIFS('Test Cases'!$B$6:$B$305,A17,'Test Cases'!$J$6:$J$305,"FAIL")</f>
        <v>0</v>
      </c>
      <c r="G17" s="17" t="str">
        <f aca="false">IF(F17=0,"PASS","FAIL")</f>
        <v>PASS</v>
      </c>
      <c r="H17" s="17" t="s">
        <v>299</v>
      </c>
    </row>
    <row r="18" customFormat="false" ht="34" hidden="false" customHeight="true" outlineLevel="0" collapsed="false">
      <c r="A18" s="17" t="s">
        <v>301</v>
      </c>
      <c r="B18" s="17" t="s">
        <v>40</v>
      </c>
      <c r="C18" s="17" t="s">
        <v>302</v>
      </c>
      <c r="D18" s="17" t="n">
        <f aca="false">COUNTIF('Test Cases'!$B$6:$B$305,A18)</f>
        <v>5</v>
      </c>
      <c r="E18" s="17" t="n">
        <f aca="false">COUNTIFS('Test Cases'!$B$6:$B$305,A18,'Test Cases'!$J$6:$J$305,"PASS")</f>
        <v>5</v>
      </c>
      <c r="F18" s="17" t="n">
        <f aca="false">COUNTIFS('Test Cases'!$B$6:$B$305,A18,'Test Cases'!$J$6:$J$305,"FAIL")</f>
        <v>0</v>
      </c>
      <c r="G18" s="17" t="str">
        <f aca="false">IF(F18=0,"PASS","FAIL")</f>
        <v>PASS</v>
      </c>
      <c r="H18" s="17" t="s">
        <v>303</v>
      </c>
    </row>
    <row r="19" customFormat="false" ht="34" hidden="false" customHeight="true" outlineLevel="0" collapsed="false">
      <c r="A19" s="17" t="s">
        <v>305</v>
      </c>
      <c r="B19" s="17" t="s">
        <v>40</v>
      </c>
      <c r="C19" s="17" t="s">
        <v>306</v>
      </c>
      <c r="D19" s="17" t="n">
        <f aca="false">COUNTIF('Test Cases'!$B$6:$B$305,A19)</f>
        <v>5</v>
      </c>
      <c r="E19" s="17" t="n">
        <f aca="false">COUNTIFS('Test Cases'!$B$6:$B$305,A19,'Test Cases'!$J$6:$J$305,"PASS")</f>
        <v>5</v>
      </c>
      <c r="F19" s="17" t="n">
        <f aca="false">COUNTIFS('Test Cases'!$B$6:$B$305,A19,'Test Cases'!$J$6:$J$305,"FAIL")</f>
        <v>0</v>
      </c>
      <c r="G19" s="17" t="str">
        <f aca="false">IF(F19=0,"PASS","FAIL")</f>
        <v>PASS</v>
      </c>
      <c r="H19" s="17" t="s">
        <v>984</v>
      </c>
    </row>
    <row r="20" customFormat="false" ht="34" hidden="false" customHeight="true" outlineLevel="0" collapsed="false">
      <c r="A20" s="17" t="s">
        <v>309</v>
      </c>
      <c r="B20" s="17" t="s">
        <v>40</v>
      </c>
      <c r="C20" s="17" t="s">
        <v>310</v>
      </c>
      <c r="D20" s="17" t="n">
        <f aca="false">COUNTIF('Test Cases'!$B$6:$B$305,A20)</f>
        <v>5</v>
      </c>
      <c r="E20" s="17" t="n">
        <f aca="false">COUNTIFS('Test Cases'!$B$6:$B$305,A20,'Test Cases'!$J$6:$J$305,"PASS")</f>
        <v>5</v>
      </c>
      <c r="F20" s="17" t="n">
        <f aca="false">COUNTIFS('Test Cases'!$B$6:$B$305,A20,'Test Cases'!$J$6:$J$305,"FAIL")</f>
        <v>0</v>
      </c>
      <c r="G20" s="17" t="str">
        <f aca="false">IF(F20=0,"PASS","FAIL")</f>
        <v>PASS</v>
      </c>
      <c r="H20" s="17" t="s">
        <v>312</v>
      </c>
    </row>
    <row r="21" customFormat="false" ht="34" hidden="false" customHeight="true" outlineLevel="0" collapsed="false">
      <c r="A21" s="17" t="s">
        <v>756</v>
      </c>
      <c r="B21" s="17" t="s">
        <v>47</v>
      </c>
      <c r="C21" s="17" t="s">
        <v>757</v>
      </c>
      <c r="D21" s="17" t="n">
        <f aca="false">COUNTIF('Test Cases'!$B$6:$B$305,A21)</f>
        <v>1</v>
      </c>
      <c r="E21" s="17" t="n">
        <f aca="false">COUNTIFS('Test Cases'!$B$6:$B$305,A21,'Test Cases'!$J$6:$J$305,"PASS")</f>
        <v>1</v>
      </c>
      <c r="F21" s="17" t="n">
        <f aca="false">COUNTIFS('Test Cases'!$B$6:$B$305,A21,'Test Cases'!$J$6:$J$305,"FAIL")</f>
        <v>0</v>
      </c>
      <c r="G21" s="17" t="str">
        <f aca="false">IF(F21=0,"PASS","FAIL")</f>
        <v>PASS</v>
      </c>
      <c r="H21" s="17" t="s">
        <v>99</v>
      </c>
    </row>
    <row r="22" customFormat="false" ht="34" hidden="false" customHeight="true" outlineLevel="0" collapsed="false">
      <c r="A22" s="17" t="s">
        <v>760</v>
      </c>
      <c r="B22" s="17" t="s">
        <v>47</v>
      </c>
      <c r="C22" s="17" t="s">
        <v>761</v>
      </c>
      <c r="D22" s="17" t="n">
        <f aca="false">COUNTIF('Test Cases'!$B$6:$B$305,A22)</f>
        <v>1</v>
      </c>
      <c r="E22" s="17" t="n">
        <f aca="false">COUNTIFS('Test Cases'!$B$6:$B$305,A22,'Test Cases'!$J$6:$J$305,"PASS")</f>
        <v>1</v>
      </c>
      <c r="F22" s="17" t="n">
        <f aca="false">COUNTIFS('Test Cases'!$B$6:$B$305,A22,'Test Cases'!$J$6:$J$305,"FAIL")</f>
        <v>0</v>
      </c>
      <c r="G22" s="17" t="str">
        <f aca="false">IF(F22=0,"PASS","FAIL")</f>
        <v>PASS</v>
      </c>
      <c r="H22" s="17" t="s">
        <v>763</v>
      </c>
    </row>
    <row r="23" customFormat="false" ht="34" hidden="false" customHeight="true" outlineLevel="0" collapsed="false">
      <c r="A23" s="17" t="s">
        <v>765</v>
      </c>
      <c r="B23" s="17" t="s">
        <v>47</v>
      </c>
      <c r="C23" s="17" t="s">
        <v>766</v>
      </c>
      <c r="D23" s="17" t="n">
        <f aca="false">COUNTIF('Test Cases'!$B$6:$B$305,A23)</f>
        <v>1</v>
      </c>
      <c r="E23" s="17" t="n">
        <f aca="false">COUNTIFS('Test Cases'!$B$6:$B$305,A23,'Test Cases'!$J$6:$J$305,"PASS")</f>
        <v>1</v>
      </c>
      <c r="F23" s="17" t="n">
        <f aca="false">COUNTIFS('Test Cases'!$B$6:$B$305,A23,'Test Cases'!$J$6:$J$305,"FAIL")</f>
        <v>0</v>
      </c>
      <c r="G23" s="17" t="str">
        <f aca="false">IF(F23=0,"PASS","FAIL")</f>
        <v>PASS</v>
      </c>
      <c r="H23" s="17" t="s">
        <v>768</v>
      </c>
    </row>
    <row r="24" customFormat="false" ht="34" hidden="false" customHeight="true" outlineLevel="0" collapsed="false">
      <c r="A24" s="17" t="s">
        <v>770</v>
      </c>
      <c r="B24" s="17" t="s">
        <v>47</v>
      </c>
      <c r="C24" s="17" t="s">
        <v>771</v>
      </c>
      <c r="D24" s="17" t="n">
        <f aca="false">COUNTIF('Test Cases'!$B$6:$B$305,A24)</f>
        <v>1</v>
      </c>
      <c r="E24" s="17" t="n">
        <f aca="false">COUNTIFS('Test Cases'!$B$6:$B$305,A24,'Test Cases'!$J$6:$J$305,"PASS")</f>
        <v>1</v>
      </c>
      <c r="F24" s="17" t="n">
        <f aca="false">COUNTIFS('Test Cases'!$B$6:$B$305,A24,'Test Cases'!$J$6:$J$305,"FAIL")</f>
        <v>0</v>
      </c>
      <c r="G24" s="17" t="str">
        <f aca="false">IF(F24=0,"PASS","FAIL")</f>
        <v>PASS</v>
      </c>
      <c r="H24" s="17" t="s">
        <v>768</v>
      </c>
    </row>
    <row r="25" customFormat="false" ht="34" hidden="false" customHeight="true" outlineLevel="0" collapsed="false">
      <c r="A25" s="17" t="s">
        <v>773</v>
      </c>
      <c r="B25" s="17" t="s">
        <v>47</v>
      </c>
      <c r="C25" s="17" t="s">
        <v>774</v>
      </c>
      <c r="D25" s="17" t="n">
        <f aca="false">COUNTIF('Test Cases'!$B$6:$B$305,A25)</f>
        <v>1</v>
      </c>
      <c r="E25" s="17" t="n">
        <f aca="false">COUNTIFS('Test Cases'!$B$6:$B$305,A25,'Test Cases'!$J$6:$J$305,"PASS")</f>
        <v>1</v>
      </c>
      <c r="F25" s="17" t="n">
        <f aca="false">COUNTIFS('Test Cases'!$B$6:$B$305,A25,'Test Cases'!$J$6:$J$305,"FAIL")</f>
        <v>0</v>
      </c>
      <c r="G25" s="17" t="str">
        <f aca="false">IF(F25=0,"PASS","FAIL")</f>
        <v>PASS</v>
      </c>
      <c r="H25" s="17" t="s">
        <v>776</v>
      </c>
    </row>
    <row r="26" customFormat="false" ht="34" hidden="false" customHeight="true" outlineLevel="0" collapsed="false">
      <c r="A26" s="17" t="s">
        <v>778</v>
      </c>
      <c r="B26" s="17" t="s">
        <v>47</v>
      </c>
      <c r="C26" s="17" t="s">
        <v>779</v>
      </c>
      <c r="D26" s="17" t="n">
        <f aca="false">COUNTIF('Test Cases'!$B$6:$B$305,A26)</f>
        <v>1</v>
      </c>
      <c r="E26" s="17" t="n">
        <f aca="false">COUNTIFS('Test Cases'!$B$6:$B$305,A26,'Test Cases'!$J$6:$J$305,"PASS")</f>
        <v>1</v>
      </c>
      <c r="F26" s="17" t="n">
        <f aca="false">COUNTIFS('Test Cases'!$B$6:$B$305,A26,'Test Cases'!$J$6:$J$305,"FAIL")</f>
        <v>0</v>
      </c>
      <c r="G26" s="17" t="str">
        <f aca="false">IF(F26=0,"PASS","FAIL")</f>
        <v>PASS</v>
      </c>
      <c r="H26" s="17" t="s">
        <v>781</v>
      </c>
    </row>
    <row r="27" customFormat="false" ht="34" hidden="false" customHeight="true" outlineLevel="0" collapsed="false">
      <c r="A27" s="17" t="s">
        <v>783</v>
      </c>
      <c r="B27" s="17" t="s">
        <v>47</v>
      </c>
      <c r="C27" s="17" t="s">
        <v>784</v>
      </c>
      <c r="D27" s="17" t="n">
        <f aca="false">COUNTIF('Test Cases'!$B$6:$B$305,A27)</f>
        <v>1</v>
      </c>
      <c r="E27" s="17" t="n">
        <f aca="false">COUNTIFS('Test Cases'!$B$6:$B$305,A27,'Test Cases'!$J$6:$J$305,"PASS")</f>
        <v>1</v>
      </c>
      <c r="F27" s="17" t="n">
        <f aca="false">COUNTIFS('Test Cases'!$B$6:$B$305,A27,'Test Cases'!$J$6:$J$305,"FAIL")</f>
        <v>0</v>
      </c>
      <c r="G27" s="17" t="str">
        <f aca="false">IF(F27=0,"PASS","FAIL")</f>
        <v>PASS</v>
      </c>
      <c r="H27" s="17" t="s">
        <v>785</v>
      </c>
    </row>
    <row r="28" customFormat="false" ht="34" hidden="false" customHeight="true" outlineLevel="0" collapsed="false">
      <c r="A28" s="17" t="s">
        <v>787</v>
      </c>
      <c r="B28" s="17" t="s">
        <v>47</v>
      </c>
      <c r="C28" s="17" t="s">
        <v>788</v>
      </c>
      <c r="D28" s="17" t="n">
        <f aca="false">COUNTIF('Test Cases'!$B$6:$B$305,A28)</f>
        <v>1</v>
      </c>
      <c r="E28" s="17" t="n">
        <f aca="false">COUNTIFS('Test Cases'!$B$6:$B$305,A28,'Test Cases'!$J$6:$J$305,"PASS")</f>
        <v>1</v>
      </c>
      <c r="F28" s="17" t="n">
        <f aca="false">COUNTIFS('Test Cases'!$B$6:$B$305,A28,'Test Cases'!$J$6:$J$305,"FAIL")</f>
        <v>0</v>
      </c>
      <c r="G28" s="17" t="str">
        <f aca="false">IF(F28=0,"PASS","FAIL")</f>
        <v>PASS</v>
      </c>
      <c r="H28" s="17" t="s">
        <v>789</v>
      </c>
    </row>
    <row r="29" customFormat="false" ht="34" hidden="false" customHeight="true" outlineLevel="0" collapsed="false">
      <c r="A29" s="17" t="s">
        <v>791</v>
      </c>
      <c r="B29" s="17" t="s">
        <v>47</v>
      </c>
      <c r="C29" s="17" t="s">
        <v>792</v>
      </c>
      <c r="D29" s="17" t="n">
        <f aca="false">COUNTIF('Test Cases'!$B$6:$B$305,A29)</f>
        <v>1</v>
      </c>
      <c r="E29" s="17" t="n">
        <f aca="false">COUNTIFS('Test Cases'!$B$6:$B$305,A29,'Test Cases'!$J$6:$J$305,"PASS")</f>
        <v>1</v>
      </c>
      <c r="F29" s="17" t="n">
        <f aca="false">COUNTIFS('Test Cases'!$B$6:$B$305,A29,'Test Cases'!$J$6:$J$305,"FAIL")</f>
        <v>0</v>
      </c>
      <c r="G29" s="17" t="str">
        <f aca="false">IF(F29=0,"PASS","FAIL")</f>
        <v>PASS</v>
      </c>
      <c r="H29" s="17" t="s">
        <v>303</v>
      </c>
    </row>
    <row r="30" customFormat="false" ht="34" hidden="false" customHeight="true" outlineLevel="0" collapsed="false">
      <c r="A30" s="17" t="s">
        <v>794</v>
      </c>
      <c r="B30" s="17" t="s">
        <v>50</v>
      </c>
      <c r="C30" s="17" t="s">
        <v>795</v>
      </c>
      <c r="D30" s="17" t="n">
        <f aca="false">COUNTIF('Test Cases'!$B$6:$B$305,A30)</f>
        <v>1</v>
      </c>
      <c r="E30" s="17" t="n">
        <f aca="false">COUNTIFS('Test Cases'!$B$6:$B$305,A30,'Test Cases'!$J$6:$J$305,"PASS")</f>
        <v>1</v>
      </c>
      <c r="F30" s="17" t="n">
        <f aca="false">COUNTIFS('Test Cases'!$B$6:$B$305,A30,'Test Cases'!$J$6:$J$305,"FAIL")</f>
        <v>0</v>
      </c>
      <c r="G30" s="17" t="str">
        <f aca="false">IF(F30=0,"PASS","FAIL")</f>
        <v>PASS</v>
      </c>
      <c r="H30" s="17" t="s">
        <v>796</v>
      </c>
    </row>
    <row r="31" customFormat="false" ht="34" hidden="false" customHeight="true" outlineLevel="0" collapsed="false">
      <c r="A31" s="17" t="s">
        <v>798</v>
      </c>
      <c r="B31" s="17" t="s">
        <v>50</v>
      </c>
      <c r="C31" s="17" t="s">
        <v>799</v>
      </c>
      <c r="D31" s="17" t="n">
        <f aca="false">COUNTIF('Test Cases'!$B$6:$B$305,A31)</f>
        <v>1</v>
      </c>
      <c r="E31" s="17" t="n">
        <f aca="false">COUNTIFS('Test Cases'!$B$6:$B$305,A31,'Test Cases'!$J$6:$J$305,"PASS")</f>
        <v>1</v>
      </c>
      <c r="F31" s="17" t="n">
        <f aca="false">COUNTIFS('Test Cases'!$B$6:$B$305,A31,'Test Cases'!$J$6:$J$305,"FAIL")</f>
        <v>0</v>
      </c>
      <c r="G31" s="17" t="str">
        <f aca="false">IF(F31=0,"PASS","FAIL")</f>
        <v>PASS</v>
      </c>
      <c r="H31" s="17" t="s">
        <v>796</v>
      </c>
    </row>
    <row r="32" customFormat="false" ht="34" hidden="false" customHeight="true" outlineLevel="0" collapsed="false">
      <c r="A32" s="17" t="s">
        <v>349</v>
      </c>
      <c r="B32" s="17" t="s">
        <v>39</v>
      </c>
      <c r="C32" s="17" t="s">
        <v>350</v>
      </c>
      <c r="D32" s="17" t="n">
        <f aca="false">COUNTIF('Test Cases'!$B$6:$B$305,A32)</f>
        <v>98</v>
      </c>
      <c r="E32" s="17" t="n">
        <f aca="false">COUNTIFS('Test Cases'!$B$6:$B$305,A32,'Test Cases'!$J$6:$J$305,"PASS")</f>
        <v>98</v>
      </c>
      <c r="F32" s="17" t="n">
        <f aca="false">COUNTIFS('Test Cases'!$B$6:$B$305,A32,'Test Cases'!$J$6:$J$305,"FAIL")</f>
        <v>0</v>
      </c>
      <c r="G32" s="17" t="str">
        <f aca="false">IF(F32=0,"PASS","FAIL")</f>
        <v>PASS</v>
      </c>
      <c r="H32" s="17" t="s">
        <v>95</v>
      </c>
    </row>
    <row r="33" customFormat="false" ht="34" hidden="false" customHeight="true" outlineLevel="0" collapsed="false">
      <c r="A33" s="17" t="s">
        <v>197</v>
      </c>
      <c r="B33" s="17" t="s">
        <v>43</v>
      </c>
      <c r="C33" s="17" t="s">
        <v>198</v>
      </c>
      <c r="D33" s="17" t="n">
        <f aca="false">COUNTIF('Test Cases'!$B$6:$B$305,A33)</f>
        <v>6</v>
      </c>
      <c r="E33" s="17" t="n">
        <f aca="false">COUNTIFS('Test Cases'!$B$6:$B$305,A33,'Test Cases'!$J$6:$J$305,"PASS")</f>
        <v>6</v>
      </c>
      <c r="F33" s="17" t="n">
        <f aca="false">COUNTIFS('Test Cases'!$B$6:$B$305,A33,'Test Cases'!$J$6:$J$305,"FAIL")</f>
        <v>0</v>
      </c>
      <c r="G33" s="17" t="str">
        <f aca="false">IF(F33=0,"PASS","FAIL")</f>
        <v>PASS</v>
      </c>
      <c r="H33" s="17" t="s">
        <v>201</v>
      </c>
    </row>
    <row r="34" customFormat="false" ht="34" hidden="false" customHeight="true" outlineLevel="0" collapsed="false">
      <c r="A34" s="17" t="s">
        <v>203</v>
      </c>
      <c r="B34" s="17" t="s">
        <v>43</v>
      </c>
      <c r="C34" s="17" t="s">
        <v>204</v>
      </c>
      <c r="D34" s="17" t="n">
        <f aca="false">COUNTIF('Test Cases'!$B$6:$B$305,A34)</f>
        <v>6</v>
      </c>
      <c r="E34" s="17" t="n">
        <f aca="false">COUNTIFS('Test Cases'!$B$6:$B$305,A34,'Test Cases'!$J$6:$J$305,"PASS")</f>
        <v>6</v>
      </c>
      <c r="F34" s="17" t="n">
        <f aca="false">COUNTIFS('Test Cases'!$B$6:$B$305,A34,'Test Cases'!$J$6:$J$305,"FAIL")</f>
        <v>0</v>
      </c>
      <c r="G34" s="17" t="str">
        <f aca="false">IF(F34=0,"PASS","FAIL")</f>
        <v>PASS</v>
      </c>
      <c r="H34" s="17" t="s">
        <v>207</v>
      </c>
    </row>
    <row r="35" customFormat="false" ht="34" hidden="false" customHeight="true" outlineLevel="0" collapsed="false">
      <c r="A35" s="17" t="s">
        <v>209</v>
      </c>
      <c r="B35" s="17" t="s">
        <v>43</v>
      </c>
      <c r="C35" s="17" t="s">
        <v>210</v>
      </c>
      <c r="D35" s="17" t="n">
        <f aca="false">COUNTIF('Test Cases'!$B$6:$B$305,A35)</f>
        <v>6</v>
      </c>
      <c r="E35" s="17" t="n">
        <f aca="false">COUNTIFS('Test Cases'!$B$6:$B$305,A35,'Test Cases'!$J$6:$J$305,"PASS")</f>
        <v>6</v>
      </c>
      <c r="F35" s="17" t="n">
        <f aca="false">COUNTIFS('Test Cases'!$B$6:$B$305,A35,'Test Cases'!$J$6:$J$305,"FAIL")</f>
        <v>0</v>
      </c>
      <c r="G35" s="17" t="str">
        <f aca="false">IF(F35=0,"PASS","FAIL")</f>
        <v>PASS</v>
      </c>
      <c r="H35" s="17" t="s">
        <v>211</v>
      </c>
    </row>
    <row r="36" customFormat="false" ht="34" hidden="false" customHeight="true" outlineLevel="0" collapsed="false">
      <c r="A36" s="17" t="s">
        <v>245</v>
      </c>
      <c r="B36" s="17" t="s">
        <v>43</v>
      </c>
      <c r="C36" s="17" t="s">
        <v>246</v>
      </c>
      <c r="D36" s="17" t="n">
        <f aca="false">COUNTIF('Test Cases'!$B$6:$B$305,A36)</f>
        <v>1</v>
      </c>
      <c r="E36" s="17" t="n">
        <f aca="false">COUNTIFS('Test Cases'!$B$6:$B$305,A36,'Test Cases'!$J$6:$J$305,"PASS")</f>
        <v>1</v>
      </c>
      <c r="F36" s="17" t="n">
        <f aca="false">COUNTIFS('Test Cases'!$B$6:$B$305,A36,'Test Cases'!$J$6:$J$305,"FAIL")</f>
        <v>0</v>
      </c>
      <c r="G36" s="17" t="str">
        <f aca="false">IF(F36=0,"PASS","FAIL")</f>
        <v>PASS</v>
      </c>
      <c r="H36" s="17" t="s">
        <v>211</v>
      </c>
    </row>
    <row r="37" customFormat="false" ht="34" hidden="false" customHeight="true" outlineLevel="0" collapsed="false">
      <c r="A37" s="17" t="s">
        <v>250</v>
      </c>
      <c r="B37" s="17" t="s">
        <v>43</v>
      </c>
      <c r="C37" s="17" t="s">
        <v>251</v>
      </c>
      <c r="D37" s="17" t="n">
        <f aca="false">COUNTIF('Test Cases'!$B$6:$B$305,A37)</f>
        <v>1</v>
      </c>
      <c r="E37" s="17" t="n">
        <f aca="false">COUNTIFS('Test Cases'!$B$6:$B$305,A37,'Test Cases'!$J$6:$J$305,"PASS")</f>
        <v>1</v>
      </c>
      <c r="F37" s="17" t="n">
        <f aca="false">COUNTIFS('Test Cases'!$B$6:$B$305,A37,'Test Cases'!$J$6:$J$305,"FAIL")</f>
        <v>0</v>
      </c>
      <c r="G37" s="17" t="str">
        <f aca="false">IF(F37=0,"PASS","FAIL")</f>
        <v>PASS</v>
      </c>
      <c r="H37" s="17" t="s">
        <v>254</v>
      </c>
    </row>
    <row r="38" customFormat="false" ht="34" hidden="false" customHeight="true" outlineLevel="0" collapsed="false">
      <c r="A38" s="17" t="s">
        <v>314</v>
      </c>
      <c r="B38" s="17" t="s">
        <v>41</v>
      </c>
      <c r="C38" s="17" t="s">
        <v>315</v>
      </c>
      <c r="D38" s="17" t="n">
        <f aca="false">COUNTIF('Test Cases'!$B$6:$B$305,A38)</f>
        <v>5</v>
      </c>
      <c r="E38" s="17" t="n">
        <f aca="false">COUNTIFS('Test Cases'!$B$6:$B$305,A38,'Test Cases'!$J$6:$J$305,"PASS")</f>
        <v>5</v>
      </c>
      <c r="F38" s="17" t="n">
        <f aca="false">COUNTIFS('Test Cases'!$B$6:$B$305,A38,'Test Cases'!$J$6:$J$305,"FAIL")</f>
        <v>0</v>
      </c>
      <c r="G38" s="17" t="str">
        <f aca="false">IF(F38=0,"PASS","FAIL")</f>
        <v>PASS</v>
      </c>
      <c r="H38" s="17" t="s">
        <v>985</v>
      </c>
    </row>
    <row r="39" customFormat="false" ht="34" hidden="false" customHeight="true" outlineLevel="0" collapsed="false">
      <c r="A39" s="17" t="s">
        <v>319</v>
      </c>
      <c r="B39" s="17" t="s">
        <v>41</v>
      </c>
      <c r="C39" s="17" t="s">
        <v>320</v>
      </c>
      <c r="D39" s="17" t="n">
        <f aca="false">COUNTIF('Test Cases'!$B$6:$B$305,A39)</f>
        <v>5</v>
      </c>
      <c r="E39" s="17" t="n">
        <f aca="false">COUNTIFS('Test Cases'!$B$6:$B$305,A39,'Test Cases'!$J$6:$J$305,"PASS")</f>
        <v>5</v>
      </c>
      <c r="F39" s="17" t="n">
        <f aca="false">COUNTIFS('Test Cases'!$B$6:$B$305,A39,'Test Cases'!$J$6:$J$305,"FAIL")</f>
        <v>0</v>
      </c>
      <c r="G39" s="17" t="str">
        <f aca="false">IF(F39=0,"PASS","FAIL")</f>
        <v>PASS</v>
      </c>
      <c r="H39" s="17" t="s">
        <v>985</v>
      </c>
    </row>
    <row r="40" customFormat="false" ht="34" hidden="false" customHeight="true" outlineLevel="0" collapsed="false">
      <c r="A40" s="17" t="s">
        <v>323</v>
      </c>
      <c r="B40" s="17" t="s">
        <v>41</v>
      </c>
      <c r="C40" s="17" t="s">
        <v>324</v>
      </c>
      <c r="D40" s="17" t="n">
        <f aca="false">COUNTIF('Test Cases'!$B$6:$B$305,A40)</f>
        <v>5</v>
      </c>
      <c r="E40" s="17" t="n">
        <f aca="false">COUNTIFS('Test Cases'!$B$6:$B$305,A40,'Test Cases'!$J$6:$J$305,"PASS")</f>
        <v>5</v>
      </c>
      <c r="F40" s="17" t="n">
        <f aca="false">COUNTIFS('Test Cases'!$B$6:$B$305,A40,'Test Cases'!$J$6:$J$305,"FAIL")</f>
        <v>0</v>
      </c>
      <c r="G40" s="17" t="str">
        <f aca="false">IF(F40=0,"PASS","FAIL")</f>
        <v>PASS</v>
      </c>
      <c r="H40" s="17" t="s">
        <v>985</v>
      </c>
    </row>
    <row r="41" customFormat="false" ht="34" hidden="false" customHeight="true" outlineLevel="0" collapsed="false">
      <c r="A41" s="17" t="s">
        <v>327</v>
      </c>
      <c r="B41" s="17" t="s">
        <v>41</v>
      </c>
      <c r="C41" s="17" t="s">
        <v>328</v>
      </c>
      <c r="D41" s="17" t="n">
        <f aca="false">COUNTIF('Test Cases'!$B$6:$B$305,A41)</f>
        <v>5</v>
      </c>
      <c r="E41" s="17" t="n">
        <f aca="false">COUNTIFS('Test Cases'!$B$6:$B$305,A41,'Test Cases'!$J$6:$J$305,"PASS")</f>
        <v>5</v>
      </c>
      <c r="F41" s="17" t="n">
        <f aca="false">COUNTIFS('Test Cases'!$B$6:$B$305,A41,'Test Cases'!$J$6:$J$305,"FAIL")</f>
        <v>0</v>
      </c>
      <c r="G41" s="17" t="str">
        <f aca="false">IF(F41=0,"PASS","FAIL")</f>
        <v>PASS</v>
      </c>
      <c r="H41" s="17" t="s">
        <v>986</v>
      </c>
    </row>
    <row r="42" customFormat="false" ht="34" hidden="false" customHeight="true" outlineLevel="0" collapsed="false">
      <c r="A42" s="17" t="s">
        <v>333</v>
      </c>
      <c r="B42" s="17" t="s">
        <v>41</v>
      </c>
      <c r="C42" s="17" t="s">
        <v>334</v>
      </c>
      <c r="D42" s="17" t="n">
        <f aca="false">COUNTIF('Test Cases'!$B$6:$B$305,A42)</f>
        <v>5</v>
      </c>
      <c r="E42" s="17" t="n">
        <f aca="false">COUNTIFS('Test Cases'!$B$6:$B$305,A42,'Test Cases'!$J$6:$J$305,"PASS")</f>
        <v>5</v>
      </c>
      <c r="F42" s="17" t="n">
        <f aca="false">COUNTIFS('Test Cases'!$B$6:$B$305,A42,'Test Cases'!$J$6:$J$305,"FAIL")</f>
        <v>0</v>
      </c>
      <c r="G42" s="17" t="str">
        <f aca="false">IF(F42=0,"PASS","FAIL")</f>
        <v>PASS</v>
      </c>
      <c r="H42" s="17" t="s">
        <v>337</v>
      </c>
    </row>
    <row r="43" customFormat="false" ht="34" hidden="false" customHeight="true" outlineLevel="0" collapsed="false">
      <c r="A43" s="17" t="s">
        <v>339</v>
      </c>
      <c r="B43" s="17" t="s">
        <v>41</v>
      </c>
      <c r="C43" s="17" t="s">
        <v>340</v>
      </c>
      <c r="D43" s="17" t="n">
        <f aca="false">COUNTIF('Test Cases'!$B$6:$B$305,A43)</f>
        <v>5</v>
      </c>
      <c r="E43" s="17" t="n">
        <f aca="false">COUNTIFS('Test Cases'!$B$6:$B$305,A43,'Test Cases'!$J$6:$J$305,"PASS")</f>
        <v>5</v>
      </c>
      <c r="F43" s="17" t="n">
        <f aca="false">COUNTIFS('Test Cases'!$B$6:$B$305,A43,'Test Cases'!$J$6:$J$305,"FAIL")</f>
        <v>0</v>
      </c>
      <c r="G43" s="17" t="str">
        <f aca="false">IF(F43=0,"PASS","FAIL")</f>
        <v>PASS</v>
      </c>
      <c r="H43" s="17" t="s">
        <v>342</v>
      </c>
    </row>
    <row r="44" customFormat="false" ht="34" hidden="false" customHeight="true" outlineLevel="0" collapsed="false">
      <c r="A44" s="17" t="s">
        <v>344</v>
      </c>
      <c r="B44" s="17" t="s">
        <v>41</v>
      </c>
      <c r="C44" s="17" t="s">
        <v>345</v>
      </c>
      <c r="D44" s="17" t="n">
        <f aca="false">COUNTIF('Test Cases'!$B$6:$B$305,A44)</f>
        <v>5</v>
      </c>
      <c r="E44" s="17" t="n">
        <f aca="false">COUNTIFS('Test Cases'!$B$6:$B$305,A44,'Test Cases'!$J$6:$J$305,"PASS")</f>
        <v>5</v>
      </c>
      <c r="F44" s="17" t="n">
        <f aca="false">COUNTIFS('Test Cases'!$B$6:$B$305,A44,'Test Cases'!$J$6:$J$305,"FAIL")</f>
        <v>0</v>
      </c>
      <c r="G44" s="17" t="str">
        <f aca="false">IF(F44=0,"PASS","FAIL")</f>
        <v>PASS</v>
      </c>
      <c r="H44" s="17" t="s">
        <v>347</v>
      </c>
    </row>
    <row r="45" customFormat="false" ht="34" hidden="false" customHeight="true" outlineLevel="0" collapsed="false">
      <c r="A45" s="17" t="s">
        <v>67</v>
      </c>
      <c r="B45" s="17" t="s">
        <v>46</v>
      </c>
      <c r="C45" s="17" t="s">
        <v>69</v>
      </c>
      <c r="D45" s="17" t="n">
        <f aca="false">COUNTIF('Test Cases'!$B$6:$B$305,A45)</f>
        <v>1</v>
      </c>
      <c r="E45" s="17" t="n">
        <f aca="false">COUNTIFS('Test Cases'!$B$6:$B$305,A45,'Test Cases'!$J$6:$J$305,"PASS")</f>
        <v>1</v>
      </c>
      <c r="F45" s="17" t="n">
        <f aca="false">COUNTIFS('Test Cases'!$B$6:$B$305,A45,'Test Cases'!$J$6:$J$305,"FAIL")</f>
        <v>0</v>
      </c>
      <c r="G45" s="17" t="str">
        <f aca="false">IF(F45=0,"PASS","FAIL")</f>
        <v>PASS</v>
      </c>
      <c r="H45" s="17" t="s">
        <v>75</v>
      </c>
    </row>
    <row r="46" customFormat="false" ht="34" hidden="false" customHeight="true" outlineLevel="0" collapsed="false">
      <c r="A46" s="17" t="s">
        <v>77</v>
      </c>
      <c r="B46" s="17" t="s">
        <v>46</v>
      </c>
      <c r="C46" s="17" t="s">
        <v>78</v>
      </c>
      <c r="D46" s="17" t="n">
        <f aca="false">COUNTIF('Test Cases'!$B$6:$B$305,A46)</f>
        <v>1</v>
      </c>
      <c r="E46" s="17" t="n">
        <f aca="false">COUNTIFS('Test Cases'!$B$6:$B$305,A46,'Test Cases'!$J$6:$J$305,"PASS")</f>
        <v>1</v>
      </c>
      <c r="F46" s="17" t="n">
        <f aca="false">COUNTIFS('Test Cases'!$B$6:$B$305,A46,'Test Cases'!$J$6:$J$305,"FAIL")</f>
        <v>0</v>
      </c>
      <c r="G46" s="17" t="str">
        <f aca="false">IF(F46=0,"PASS","FAIL")</f>
        <v>PASS</v>
      </c>
      <c r="H46" s="17" t="s">
        <v>80</v>
      </c>
    </row>
    <row r="47" customFormat="false" ht="34" hidden="false" customHeight="true" outlineLevel="0" collapsed="false">
      <c r="A47" s="17" t="s">
        <v>82</v>
      </c>
      <c r="B47" s="17" t="s">
        <v>46</v>
      </c>
      <c r="C47" s="17" t="s">
        <v>83</v>
      </c>
      <c r="D47" s="17" t="n">
        <f aca="false">COUNTIF('Test Cases'!$B$6:$B$305,A47)</f>
        <v>1</v>
      </c>
      <c r="E47" s="17" t="n">
        <f aca="false">COUNTIFS('Test Cases'!$B$6:$B$305,A47,'Test Cases'!$J$6:$J$305,"PASS")</f>
        <v>1</v>
      </c>
      <c r="F47" s="17" t="n">
        <f aca="false">COUNTIFS('Test Cases'!$B$6:$B$305,A47,'Test Cases'!$J$6:$J$305,"FAIL")</f>
        <v>0</v>
      </c>
      <c r="G47" s="17" t="str">
        <f aca="false">IF(F47=0,"PASS","FAIL")</f>
        <v>PASS</v>
      </c>
      <c r="H47" s="17" t="s">
        <v>86</v>
      </c>
    </row>
    <row r="48" customFormat="false" ht="34" hidden="false" customHeight="true" outlineLevel="0" collapsed="false">
      <c r="A48" s="17" t="s">
        <v>88</v>
      </c>
      <c r="B48" s="17" t="s">
        <v>46</v>
      </c>
      <c r="C48" s="17" t="s">
        <v>89</v>
      </c>
      <c r="D48" s="17" t="n">
        <f aca="false">COUNTIF('Test Cases'!$B$6:$B$305,A48)</f>
        <v>1</v>
      </c>
      <c r="E48" s="17" t="n">
        <f aca="false">COUNTIFS('Test Cases'!$B$6:$B$305,A48,'Test Cases'!$J$6:$J$305,"PASS")</f>
        <v>1</v>
      </c>
      <c r="F48" s="17" t="n">
        <f aca="false">COUNTIFS('Test Cases'!$B$6:$B$305,A48,'Test Cases'!$J$6:$J$305,"FAIL")</f>
        <v>0</v>
      </c>
      <c r="G48" s="17" t="str">
        <f aca="false">IF(F48=0,"PASS","FAIL")</f>
        <v>PASS</v>
      </c>
      <c r="H48" s="17" t="s">
        <v>91</v>
      </c>
    </row>
    <row r="49" customFormat="false" ht="34" hidden="false" customHeight="true" outlineLevel="0" collapsed="false">
      <c r="A49" s="17" t="s">
        <v>93</v>
      </c>
      <c r="B49" s="17" t="s">
        <v>46</v>
      </c>
      <c r="C49" s="17" t="s">
        <v>94</v>
      </c>
      <c r="D49" s="17" t="n">
        <f aca="false">COUNTIF('Test Cases'!$B$6:$B$305,A49)</f>
        <v>1</v>
      </c>
      <c r="E49" s="17" t="n">
        <f aca="false">COUNTIFS('Test Cases'!$B$6:$B$305,A49,'Test Cases'!$J$6:$J$305,"PASS")</f>
        <v>1</v>
      </c>
      <c r="F49" s="17" t="n">
        <f aca="false">COUNTIFS('Test Cases'!$B$6:$B$305,A49,'Test Cases'!$J$6:$J$305,"FAIL")</f>
        <v>0</v>
      </c>
      <c r="G49" s="17" t="str">
        <f aca="false">IF(F49=0,"PASS","FAIL")</f>
        <v>PASS</v>
      </c>
      <c r="H49" s="17" t="s">
        <v>91</v>
      </c>
    </row>
    <row r="50" customFormat="false" ht="34" hidden="false" customHeight="true" outlineLevel="0" collapsed="false">
      <c r="A50" s="17" t="s">
        <v>97</v>
      </c>
      <c r="B50" s="17" t="s">
        <v>46</v>
      </c>
      <c r="C50" s="17" t="s">
        <v>98</v>
      </c>
      <c r="D50" s="17" t="n">
        <f aca="false">COUNTIF('Test Cases'!$B$6:$B$305,A50)</f>
        <v>1</v>
      </c>
      <c r="E50" s="17" t="n">
        <f aca="false">COUNTIFS('Test Cases'!$B$6:$B$305,A50,'Test Cases'!$J$6:$J$305,"PASS")</f>
        <v>1</v>
      </c>
      <c r="F50" s="17" t="n">
        <f aca="false">COUNTIFS('Test Cases'!$B$6:$B$305,A50,'Test Cases'!$J$6:$J$305,"FAIL")</f>
        <v>0</v>
      </c>
      <c r="G50" s="17" t="str">
        <f aca="false">IF(F50=0,"PASS","FAIL")</f>
        <v>PASS</v>
      </c>
      <c r="H50" s="17" t="s">
        <v>91</v>
      </c>
    </row>
    <row r="51" customFormat="false" ht="34" hidden="false" customHeight="true" outlineLevel="0" collapsed="false">
      <c r="A51" s="17" t="s">
        <v>101</v>
      </c>
      <c r="B51" s="17" t="s">
        <v>46</v>
      </c>
      <c r="C51" s="17" t="s">
        <v>102</v>
      </c>
      <c r="D51" s="17" t="n">
        <f aca="false">COUNTIF('Test Cases'!$B$6:$B$305,A51)</f>
        <v>1</v>
      </c>
      <c r="E51" s="17" t="n">
        <f aca="false">COUNTIFS('Test Cases'!$B$6:$B$305,A51,'Test Cases'!$J$6:$J$305,"PASS")</f>
        <v>1</v>
      </c>
      <c r="F51" s="17" t="n">
        <f aca="false">COUNTIFS('Test Cases'!$B$6:$B$305,A51,'Test Cases'!$J$6:$J$305,"FAIL")</f>
        <v>0</v>
      </c>
      <c r="G51" s="17" t="str">
        <f aca="false">IF(F51=0,"PASS","FAIL")</f>
        <v>PASS</v>
      </c>
      <c r="H51" s="17" t="s">
        <v>91</v>
      </c>
    </row>
    <row r="52" customFormat="false" ht="34" hidden="false" customHeight="true" outlineLevel="0" collapsed="false">
      <c r="A52" s="17" t="s">
        <v>107</v>
      </c>
      <c r="B52" s="17" t="s">
        <v>46</v>
      </c>
      <c r="C52" s="17" t="s">
        <v>108</v>
      </c>
      <c r="D52" s="17" t="n">
        <f aca="false">COUNTIF('Test Cases'!$B$6:$B$305,A52)</f>
        <v>1</v>
      </c>
      <c r="E52" s="17" t="n">
        <f aca="false">COUNTIFS('Test Cases'!$B$6:$B$305,A52,'Test Cases'!$J$6:$J$305,"PASS")</f>
        <v>1</v>
      </c>
      <c r="F52" s="17" t="n">
        <f aca="false">COUNTIFS('Test Cases'!$B$6:$B$305,A52,'Test Cases'!$J$6:$J$305,"FAIL")</f>
        <v>0</v>
      </c>
      <c r="G52" s="17" t="str">
        <f aca="false">IF(F52=0,"PASS","FAIL")</f>
        <v>PASS</v>
      </c>
      <c r="H52" s="17" t="s">
        <v>91</v>
      </c>
    </row>
    <row r="53" customFormat="false" ht="34" hidden="false" customHeight="true" outlineLevel="0" collapsed="false">
      <c r="A53" s="17" t="s">
        <v>111</v>
      </c>
      <c r="B53" s="17" t="s">
        <v>46</v>
      </c>
      <c r="C53" s="17" t="s">
        <v>112</v>
      </c>
      <c r="D53" s="17" t="n">
        <f aca="false">COUNTIF('Test Cases'!$B$6:$B$305,A53)</f>
        <v>1</v>
      </c>
      <c r="E53" s="17" t="n">
        <f aca="false">COUNTIFS('Test Cases'!$B$6:$B$305,A53,'Test Cases'!$J$6:$J$305,"PASS")</f>
        <v>1</v>
      </c>
      <c r="F53" s="17" t="n">
        <f aca="false">COUNTIFS('Test Cases'!$B$6:$B$305,A53,'Test Cases'!$J$6:$J$305,"FAIL")</f>
        <v>0</v>
      </c>
      <c r="G53" s="17" t="str">
        <f aca="false">IF(F53=0,"PASS","FAIL")</f>
        <v>PASS</v>
      </c>
      <c r="H53" s="17" t="s">
        <v>91</v>
      </c>
    </row>
    <row r="54" customFormat="false" ht="34" hidden="false" customHeight="true" outlineLevel="0" collapsed="false">
      <c r="A54" s="17" t="s">
        <v>115</v>
      </c>
      <c r="B54" s="17" t="s">
        <v>42</v>
      </c>
      <c r="C54" s="17" t="s">
        <v>116</v>
      </c>
      <c r="D54" s="17" t="n">
        <f aca="false">COUNTIF('Test Cases'!$B$6:$B$305,A54)</f>
        <v>1</v>
      </c>
      <c r="E54" s="17" t="n">
        <f aca="false">COUNTIFS('Test Cases'!$B$6:$B$305,A54,'Test Cases'!$J$6:$J$305,"PASS")</f>
        <v>1</v>
      </c>
      <c r="F54" s="17" t="n">
        <f aca="false">COUNTIFS('Test Cases'!$B$6:$B$305,A54,'Test Cases'!$J$6:$J$305,"FAIL")</f>
        <v>0</v>
      </c>
      <c r="G54" s="17" t="str">
        <f aca="false">IF(F54=0,"PASS","FAIL")</f>
        <v>PASS</v>
      </c>
      <c r="H54" s="17" t="s">
        <v>118</v>
      </c>
    </row>
    <row r="55" customFormat="false" ht="34" hidden="false" customHeight="true" outlineLevel="0" collapsed="false">
      <c r="A55" s="17" t="s">
        <v>120</v>
      </c>
      <c r="B55" s="17" t="s">
        <v>42</v>
      </c>
      <c r="C55" s="17" t="s">
        <v>121</v>
      </c>
      <c r="D55" s="17" t="n">
        <f aca="false">COUNTIF('Test Cases'!$B$6:$B$305,A55)</f>
        <v>1</v>
      </c>
      <c r="E55" s="17" t="n">
        <f aca="false">COUNTIFS('Test Cases'!$B$6:$B$305,A55,'Test Cases'!$J$6:$J$305,"PASS")</f>
        <v>1</v>
      </c>
      <c r="F55" s="17" t="n">
        <f aca="false">COUNTIFS('Test Cases'!$B$6:$B$305,A55,'Test Cases'!$J$6:$J$305,"FAIL")</f>
        <v>0</v>
      </c>
      <c r="G55" s="17" t="str">
        <f aca="false">IF(F55=0,"PASS","FAIL")</f>
        <v>PASS</v>
      </c>
      <c r="H55" s="17" t="s">
        <v>118</v>
      </c>
    </row>
    <row r="56" customFormat="false" ht="34" hidden="false" customHeight="true" outlineLevel="0" collapsed="false">
      <c r="A56" s="17" t="s">
        <v>124</v>
      </c>
      <c r="B56" s="17" t="s">
        <v>42</v>
      </c>
      <c r="C56" s="17" t="s">
        <v>125</v>
      </c>
      <c r="D56" s="17" t="n">
        <f aca="false">COUNTIF('Test Cases'!$B$6:$B$305,A56)</f>
        <v>1</v>
      </c>
      <c r="E56" s="17" t="n">
        <f aca="false">COUNTIFS('Test Cases'!$B$6:$B$305,A56,'Test Cases'!$J$6:$J$305,"PASS")</f>
        <v>1</v>
      </c>
      <c r="F56" s="17" t="n">
        <f aca="false">COUNTIFS('Test Cases'!$B$6:$B$305,A56,'Test Cases'!$J$6:$J$305,"FAIL")</f>
        <v>0</v>
      </c>
      <c r="G56" s="17" t="str">
        <f aca="false">IF(F56=0,"PASS","FAIL")</f>
        <v>PASS</v>
      </c>
      <c r="H56" s="17" t="s">
        <v>118</v>
      </c>
    </row>
    <row r="57" customFormat="false" ht="34" hidden="false" customHeight="true" outlineLevel="0" collapsed="false">
      <c r="A57" s="17" t="s">
        <v>128</v>
      </c>
      <c r="B57" s="17" t="s">
        <v>42</v>
      </c>
      <c r="C57" s="17" t="s">
        <v>129</v>
      </c>
      <c r="D57" s="17" t="n">
        <f aca="false">COUNTIF('Test Cases'!$B$6:$B$305,A57)</f>
        <v>1</v>
      </c>
      <c r="E57" s="17" t="n">
        <f aca="false">COUNTIFS('Test Cases'!$B$6:$B$305,A57,'Test Cases'!$J$6:$J$305,"PASS")</f>
        <v>1</v>
      </c>
      <c r="F57" s="17" t="n">
        <f aca="false">COUNTIFS('Test Cases'!$B$6:$B$305,A57,'Test Cases'!$J$6:$J$305,"FAIL")</f>
        <v>0</v>
      </c>
      <c r="G57" s="17" t="str">
        <f aca="false">IF(F57=0,"PASS","FAIL")</f>
        <v>PASS</v>
      </c>
      <c r="H57" s="17" t="s">
        <v>118</v>
      </c>
    </row>
    <row r="58" customFormat="false" ht="34" hidden="false" customHeight="true" outlineLevel="0" collapsed="false">
      <c r="A58" s="17" t="s">
        <v>132</v>
      </c>
      <c r="B58" s="17" t="s">
        <v>42</v>
      </c>
      <c r="C58" s="17" t="s">
        <v>133</v>
      </c>
      <c r="D58" s="17" t="n">
        <f aca="false">COUNTIF('Test Cases'!$B$6:$B$305,A58)</f>
        <v>1</v>
      </c>
      <c r="E58" s="17" t="n">
        <f aca="false">COUNTIFS('Test Cases'!$B$6:$B$305,A58,'Test Cases'!$J$6:$J$305,"PASS")</f>
        <v>1</v>
      </c>
      <c r="F58" s="17" t="n">
        <f aca="false">COUNTIFS('Test Cases'!$B$6:$B$305,A58,'Test Cases'!$J$6:$J$305,"FAIL")</f>
        <v>0</v>
      </c>
      <c r="G58" s="17" t="str">
        <f aca="false">IF(F58=0,"PASS","FAIL")</f>
        <v>PASS</v>
      </c>
      <c r="H58" s="17" t="s">
        <v>118</v>
      </c>
    </row>
    <row r="59" customFormat="false" ht="34" hidden="false" customHeight="true" outlineLevel="0" collapsed="false">
      <c r="A59" s="17" t="s">
        <v>137</v>
      </c>
      <c r="B59" s="17" t="s">
        <v>42</v>
      </c>
      <c r="C59" s="17" t="s">
        <v>138</v>
      </c>
      <c r="D59" s="17" t="n">
        <f aca="false">COUNTIF('Test Cases'!$B$6:$B$305,A59)</f>
        <v>1</v>
      </c>
      <c r="E59" s="17" t="n">
        <f aca="false">COUNTIFS('Test Cases'!$B$6:$B$305,A59,'Test Cases'!$J$6:$J$305,"PASS")</f>
        <v>1</v>
      </c>
      <c r="F59" s="17" t="n">
        <f aca="false">COUNTIFS('Test Cases'!$B$6:$B$305,A59,'Test Cases'!$J$6:$J$305,"FAIL")</f>
        <v>0</v>
      </c>
      <c r="G59" s="17" t="str">
        <f aca="false">IF(F59=0,"PASS","FAIL")</f>
        <v>PASS</v>
      </c>
      <c r="H59" s="17" t="s">
        <v>118</v>
      </c>
    </row>
    <row r="60" customFormat="false" ht="34" hidden="false" customHeight="true" outlineLevel="0" collapsed="false">
      <c r="A60" s="17" t="s">
        <v>142</v>
      </c>
      <c r="B60" s="17" t="s">
        <v>42</v>
      </c>
      <c r="C60" s="17" t="s">
        <v>143</v>
      </c>
      <c r="D60" s="17" t="n">
        <f aca="false">COUNTIF('Test Cases'!$B$6:$B$305,A60)</f>
        <v>1</v>
      </c>
      <c r="E60" s="17" t="n">
        <f aca="false">COUNTIFS('Test Cases'!$B$6:$B$305,A60,'Test Cases'!$J$6:$J$305,"PASS")</f>
        <v>1</v>
      </c>
      <c r="F60" s="17" t="n">
        <f aca="false">COUNTIFS('Test Cases'!$B$6:$B$305,A60,'Test Cases'!$J$6:$J$305,"FAIL")</f>
        <v>0</v>
      </c>
      <c r="G60" s="17" t="str">
        <f aca="false">IF(F60=0,"PASS","FAIL")</f>
        <v>PASS</v>
      </c>
      <c r="H60" s="17" t="s">
        <v>118</v>
      </c>
    </row>
    <row r="61" customFormat="false" ht="34" hidden="false" customHeight="true" outlineLevel="0" collapsed="false">
      <c r="A61" s="17" t="s">
        <v>146</v>
      </c>
      <c r="B61" s="17" t="s">
        <v>42</v>
      </c>
      <c r="C61" s="17" t="s">
        <v>147</v>
      </c>
      <c r="D61" s="17" t="n">
        <f aca="false">COUNTIF('Test Cases'!$B$6:$B$305,A61)</f>
        <v>1</v>
      </c>
      <c r="E61" s="17" t="n">
        <f aca="false">COUNTIFS('Test Cases'!$B$6:$B$305,A61,'Test Cases'!$J$6:$J$305,"PASS")</f>
        <v>1</v>
      </c>
      <c r="F61" s="17" t="n">
        <f aca="false">COUNTIFS('Test Cases'!$B$6:$B$305,A61,'Test Cases'!$J$6:$J$305,"FAIL")</f>
        <v>0</v>
      </c>
      <c r="G61" s="17" t="str">
        <f aca="false">IF(F61=0,"PASS","FAIL")</f>
        <v>PASS</v>
      </c>
      <c r="H61" s="17" t="s">
        <v>118</v>
      </c>
    </row>
    <row r="62" customFormat="false" ht="34" hidden="false" customHeight="true" outlineLevel="0" collapsed="false">
      <c r="A62" s="17" t="s">
        <v>149</v>
      </c>
      <c r="B62" s="17" t="s">
        <v>42</v>
      </c>
      <c r="C62" s="17" t="s">
        <v>150</v>
      </c>
      <c r="D62" s="17" t="n">
        <f aca="false">COUNTIF('Test Cases'!$B$6:$B$305,A62)</f>
        <v>1</v>
      </c>
      <c r="E62" s="17" t="n">
        <f aca="false">COUNTIFS('Test Cases'!$B$6:$B$305,A62,'Test Cases'!$J$6:$J$305,"PASS")</f>
        <v>1</v>
      </c>
      <c r="F62" s="17" t="n">
        <f aca="false">COUNTIFS('Test Cases'!$B$6:$B$305,A62,'Test Cases'!$J$6:$J$305,"FAIL")</f>
        <v>0</v>
      </c>
      <c r="G62" s="17" t="str">
        <f aca="false">IF(F62=0,"PASS","FAIL")</f>
        <v>PASS</v>
      </c>
      <c r="H62" s="17" t="s">
        <v>118</v>
      </c>
    </row>
    <row r="63" customFormat="false" ht="34" hidden="false" customHeight="true" outlineLevel="0" collapsed="false">
      <c r="A63" s="17" t="s">
        <v>153</v>
      </c>
      <c r="B63" s="17" t="s">
        <v>42</v>
      </c>
      <c r="C63" s="17" t="s">
        <v>154</v>
      </c>
      <c r="D63" s="17" t="n">
        <f aca="false">COUNTIF('Test Cases'!$B$6:$B$305,A63)</f>
        <v>1</v>
      </c>
      <c r="E63" s="17" t="n">
        <f aca="false">COUNTIFS('Test Cases'!$B$6:$B$305,A63,'Test Cases'!$J$6:$J$305,"PASS")</f>
        <v>1</v>
      </c>
      <c r="F63" s="17" t="n">
        <f aca="false">COUNTIFS('Test Cases'!$B$6:$B$305,A63,'Test Cases'!$J$6:$J$305,"FAIL")</f>
        <v>0</v>
      </c>
      <c r="G63" s="17" t="str">
        <f aca="false">IF(F63=0,"PASS","FAIL")</f>
        <v>PASS</v>
      </c>
      <c r="H63" s="17" t="s">
        <v>118</v>
      </c>
    </row>
    <row r="64" customFormat="false" ht="34" hidden="false" customHeight="true" outlineLevel="0" collapsed="false">
      <c r="A64" s="17" t="s">
        <v>158</v>
      </c>
      <c r="B64" s="17" t="s">
        <v>42</v>
      </c>
      <c r="C64" s="17" t="s">
        <v>159</v>
      </c>
      <c r="D64" s="17" t="n">
        <f aca="false">COUNTIF('Test Cases'!$B$6:$B$305,A64)</f>
        <v>1</v>
      </c>
      <c r="E64" s="17" t="n">
        <f aca="false">COUNTIFS('Test Cases'!$B$6:$B$305,A64,'Test Cases'!$J$6:$J$305,"PASS")</f>
        <v>1</v>
      </c>
      <c r="F64" s="17" t="n">
        <f aca="false">COUNTIFS('Test Cases'!$B$6:$B$305,A64,'Test Cases'!$J$6:$J$305,"FAIL")</f>
        <v>0</v>
      </c>
      <c r="G64" s="17" t="str">
        <f aca="false">IF(F64=0,"PASS","FAIL")</f>
        <v>PASS</v>
      </c>
      <c r="H64" s="17" t="s">
        <v>118</v>
      </c>
    </row>
    <row r="65" customFormat="false" ht="34" hidden="false" customHeight="true" outlineLevel="0" collapsed="false">
      <c r="A65" s="17" t="s">
        <v>162</v>
      </c>
      <c r="B65" s="17" t="s">
        <v>42</v>
      </c>
      <c r="C65" s="17" t="s">
        <v>163</v>
      </c>
      <c r="D65" s="17" t="n">
        <f aca="false">COUNTIF('Test Cases'!$B$6:$B$305,A65)</f>
        <v>1</v>
      </c>
      <c r="E65" s="17" t="n">
        <f aca="false">COUNTIFS('Test Cases'!$B$6:$B$305,A65,'Test Cases'!$J$6:$J$305,"PASS")</f>
        <v>1</v>
      </c>
      <c r="F65" s="17" t="n">
        <f aca="false">COUNTIFS('Test Cases'!$B$6:$B$305,A65,'Test Cases'!$J$6:$J$305,"FAIL")</f>
        <v>0</v>
      </c>
      <c r="G65" s="17" t="str">
        <f aca="false">IF(F65=0,"PASS","FAIL")</f>
        <v>PASS</v>
      </c>
      <c r="H65" s="17" t="s">
        <v>118</v>
      </c>
    </row>
    <row r="66" customFormat="false" ht="34" hidden="false" customHeight="true" outlineLevel="0" collapsed="false">
      <c r="A66" s="17" t="s">
        <v>166</v>
      </c>
      <c r="B66" s="17" t="s">
        <v>42</v>
      </c>
      <c r="C66" s="17" t="s">
        <v>167</v>
      </c>
      <c r="D66" s="17" t="n">
        <f aca="false">COUNTIF('Test Cases'!$B$6:$B$305,A66)</f>
        <v>1</v>
      </c>
      <c r="E66" s="17" t="n">
        <f aca="false">COUNTIFS('Test Cases'!$B$6:$B$305,A66,'Test Cases'!$J$6:$J$305,"PASS")</f>
        <v>1</v>
      </c>
      <c r="F66" s="17" t="n">
        <f aca="false">COUNTIFS('Test Cases'!$B$6:$B$305,A66,'Test Cases'!$J$6:$J$305,"FAIL")</f>
        <v>0</v>
      </c>
      <c r="G66" s="17" t="str">
        <f aca="false">IF(F66=0,"PASS","FAIL")</f>
        <v>PASS</v>
      </c>
      <c r="H66" s="17" t="s">
        <v>118</v>
      </c>
    </row>
    <row r="67" customFormat="false" ht="34" hidden="false" customHeight="true" outlineLevel="0" collapsed="false">
      <c r="A67" s="17" t="s">
        <v>169</v>
      </c>
      <c r="B67" s="17" t="s">
        <v>42</v>
      </c>
      <c r="C67" s="17" t="s">
        <v>170</v>
      </c>
      <c r="D67" s="17" t="n">
        <f aca="false">COUNTIF('Test Cases'!$B$6:$B$305,A67)</f>
        <v>1</v>
      </c>
      <c r="E67" s="17" t="n">
        <f aca="false">COUNTIFS('Test Cases'!$B$6:$B$305,A67,'Test Cases'!$J$6:$J$305,"PASS")</f>
        <v>1</v>
      </c>
      <c r="F67" s="17" t="n">
        <f aca="false">COUNTIFS('Test Cases'!$B$6:$B$305,A67,'Test Cases'!$J$6:$J$305,"FAIL")</f>
        <v>0</v>
      </c>
      <c r="G67" s="17" t="str">
        <f aca="false">IF(F67=0,"PASS","FAIL")</f>
        <v>PASS</v>
      </c>
      <c r="H67" s="17" t="s">
        <v>118</v>
      </c>
    </row>
    <row r="68" customFormat="false" ht="34" hidden="false" customHeight="true" outlineLevel="0" collapsed="false">
      <c r="A68" s="17" t="s">
        <v>173</v>
      </c>
      <c r="B68" s="17" t="s">
        <v>42</v>
      </c>
      <c r="C68" s="17" t="s">
        <v>174</v>
      </c>
      <c r="D68" s="17" t="n">
        <f aca="false">COUNTIF('Test Cases'!$B$6:$B$305,A68)</f>
        <v>1</v>
      </c>
      <c r="E68" s="17" t="n">
        <f aca="false">COUNTIFS('Test Cases'!$B$6:$B$305,A68,'Test Cases'!$J$6:$J$305,"PASS")</f>
        <v>1</v>
      </c>
      <c r="F68" s="17" t="n">
        <f aca="false">COUNTIFS('Test Cases'!$B$6:$B$305,A68,'Test Cases'!$J$6:$J$305,"FAIL")</f>
        <v>0</v>
      </c>
      <c r="G68" s="17" t="str">
        <f aca="false">IF(F68=0,"PASS","FAIL")</f>
        <v>PASS</v>
      </c>
      <c r="H68" s="17" t="s">
        <v>118</v>
      </c>
    </row>
    <row r="69" customFormat="false" ht="34" hidden="false" customHeight="true" outlineLevel="0" collapsed="false">
      <c r="A69" s="17" t="s">
        <v>177</v>
      </c>
      <c r="B69" s="17" t="s">
        <v>42</v>
      </c>
      <c r="C69" s="17" t="s">
        <v>178</v>
      </c>
      <c r="D69" s="17" t="n">
        <f aca="false">COUNTIF('Test Cases'!$B$6:$B$305,A69)</f>
        <v>1</v>
      </c>
      <c r="E69" s="17" t="n">
        <f aca="false">COUNTIFS('Test Cases'!$B$6:$B$305,A69,'Test Cases'!$J$6:$J$305,"PASS")</f>
        <v>1</v>
      </c>
      <c r="F69" s="17" t="n">
        <f aca="false">COUNTIFS('Test Cases'!$B$6:$B$305,A69,'Test Cases'!$J$6:$J$305,"FAIL")</f>
        <v>0</v>
      </c>
      <c r="G69" s="17" t="str">
        <f aca="false">IF(F69=0,"PASS","FAIL")</f>
        <v>PASS</v>
      </c>
      <c r="H69" s="17" t="s">
        <v>118</v>
      </c>
    </row>
    <row r="70" customFormat="false" ht="34" hidden="false" customHeight="true" outlineLevel="0" collapsed="false">
      <c r="A70" s="17" t="s">
        <v>180</v>
      </c>
      <c r="B70" s="17" t="s">
        <v>42</v>
      </c>
      <c r="C70" s="17" t="s">
        <v>181</v>
      </c>
      <c r="D70" s="17" t="n">
        <f aca="false">COUNTIF('Test Cases'!$B$6:$B$305,A70)</f>
        <v>1</v>
      </c>
      <c r="E70" s="17" t="n">
        <f aca="false">COUNTIFS('Test Cases'!$B$6:$B$305,A70,'Test Cases'!$J$6:$J$305,"PASS")</f>
        <v>1</v>
      </c>
      <c r="F70" s="17" t="n">
        <f aca="false">COUNTIFS('Test Cases'!$B$6:$B$305,A70,'Test Cases'!$J$6:$J$305,"FAIL")</f>
        <v>0</v>
      </c>
      <c r="G70" s="17" t="str">
        <f aca="false">IF(F70=0,"PASS","FAIL")</f>
        <v>PASS</v>
      </c>
      <c r="H70" s="17" t="s">
        <v>118</v>
      </c>
    </row>
    <row r="71" customFormat="false" ht="34" hidden="false" customHeight="true" outlineLevel="0" collapsed="false">
      <c r="A71" s="17" t="s">
        <v>185</v>
      </c>
      <c r="B71" s="17" t="s">
        <v>42</v>
      </c>
      <c r="C71" s="17" t="s">
        <v>186</v>
      </c>
      <c r="D71" s="17" t="n">
        <f aca="false">COUNTIF('Test Cases'!$B$6:$B$305,A71)</f>
        <v>1</v>
      </c>
      <c r="E71" s="17" t="n">
        <f aca="false">COUNTIFS('Test Cases'!$B$6:$B$305,A71,'Test Cases'!$J$6:$J$305,"PASS")</f>
        <v>1</v>
      </c>
      <c r="F71" s="17" t="n">
        <f aca="false">COUNTIFS('Test Cases'!$B$6:$B$305,A71,'Test Cases'!$J$6:$J$305,"FAIL")</f>
        <v>0</v>
      </c>
      <c r="G71" s="17" t="str">
        <f aca="false">IF(F71=0,"PASS","FAIL")</f>
        <v>PASS</v>
      </c>
      <c r="H71" s="17" t="s">
        <v>118</v>
      </c>
    </row>
    <row r="72" customFormat="false" ht="34" hidden="false" customHeight="true" outlineLevel="0" collapsed="false">
      <c r="A72" s="17" t="s">
        <v>188</v>
      </c>
      <c r="B72" s="17" t="s">
        <v>42</v>
      </c>
      <c r="C72" s="17" t="s">
        <v>189</v>
      </c>
      <c r="D72" s="17" t="n">
        <f aca="false">COUNTIF('Test Cases'!$B$6:$B$305,A72)</f>
        <v>1</v>
      </c>
      <c r="E72" s="17" t="n">
        <f aca="false">COUNTIFS('Test Cases'!$B$6:$B$305,A72,'Test Cases'!$J$6:$J$305,"PASS")</f>
        <v>1</v>
      </c>
      <c r="F72" s="17" t="n">
        <f aca="false">COUNTIFS('Test Cases'!$B$6:$B$305,A72,'Test Cases'!$J$6:$J$305,"FAIL")</f>
        <v>0</v>
      </c>
      <c r="G72" s="17" t="str">
        <f aca="false">IF(F72=0,"PASS","FAIL")</f>
        <v>PASS</v>
      </c>
      <c r="H72" s="17" t="s">
        <v>118</v>
      </c>
    </row>
    <row r="73" customFormat="false" ht="34" hidden="false" customHeight="true" outlineLevel="0" collapsed="false">
      <c r="A73" s="17" t="s">
        <v>192</v>
      </c>
      <c r="B73" s="17" t="s">
        <v>42</v>
      </c>
      <c r="C73" s="17" t="s">
        <v>193</v>
      </c>
      <c r="D73" s="17" t="n">
        <f aca="false">COUNTIF('Test Cases'!$B$6:$B$305,A73)</f>
        <v>1</v>
      </c>
      <c r="E73" s="17" t="n">
        <f aca="false">COUNTIFS('Test Cases'!$B$6:$B$305,A73,'Test Cases'!$J$6:$J$305,"PASS")</f>
        <v>1</v>
      </c>
      <c r="F73" s="17" t="n">
        <f aca="false">COUNTIFS('Test Cases'!$B$6:$B$305,A73,'Test Cases'!$J$6:$J$305,"FAIL")</f>
        <v>0</v>
      </c>
      <c r="G73" s="17" t="str">
        <f aca="false">IF(F73=0,"PASS","FAIL")</f>
        <v>PASS</v>
      </c>
      <c r="H73" s="17" t="s">
        <v>118</v>
      </c>
    </row>
    <row r="74" customFormat="false" ht="34" hidden="false" customHeight="true" outlineLevel="0" collapsed="false">
      <c r="A74" s="17" t="s">
        <v>256</v>
      </c>
      <c r="B74" s="17" t="s">
        <v>51</v>
      </c>
      <c r="C74" s="17" t="s">
        <v>257</v>
      </c>
      <c r="D74" s="17" t="n">
        <f aca="false">COUNTIF('Test Cases'!$B$6:$B$305,A74)</f>
        <v>1</v>
      </c>
      <c r="E74" s="17" t="n">
        <f aca="false">COUNTIFS('Test Cases'!$B$6:$B$305,A74,'Test Cases'!$J$6:$J$305,"PASS")</f>
        <v>1</v>
      </c>
      <c r="F74" s="17" t="n">
        <f aca="false">COUNTIFS('Test Cases'!$B$6:$B$305,A74,'Test Cases'!$J$6:$J$305,"FAIL")</f>
        <v>0</v>
      </c>
      <c r="G74" s="17" t="str">
        <f aca="false">IF(F74=0,"PASS","FAIL")</f>
        <v>PASS</v>
      </c>
      <c r="H74" s="17" t="s">
        <v>259</v>
      </c>
    </row>
    <row r="75" customFormat="false" ht="34" hidden="false" customHeight="true" outlineLevel="0" collapsed="false">
      <c r="A75" s="17" t="s">
        <v>261</v>
      </c>
      <c r="B75" s="17" t="s">
        <v>52</v>
      </c>
      <c r="C75" s="17" t="s">
        <v>262</v>
      </c>
      <c r="D75" s="17" t="n">
        <f aca="false">COUNTIF('Test Cases'!$B$6:$B$305,A75)</f>
        <v>1</v>
      </c>
      <c r="E75" s="17" t="n">
        <f aca="false">COUNTIFS('Test Cases'!$B$6:$B$305,A75,'Test Cases'!$J$6:$J$305,"PASS")</f>
        <v>1</v>
      </c>
      <c r="F75" s="17" t="n">
        <f aca="false">COUNTIFS('Test Cases'!$B$6:$B$305,A75,'Test Cases'!$J$6:$J$305,"FAIL")</f>
        <v>0</v>
      </c>
      <c r="G75" s="17" t="str">
        <f aca="false">IF(F75=0,"PASS","FAIL")</f>
        <v>PASS</v>
      </c>
      <c r="H75" s="17" t="s">
        <v>99</v>
      </c>
    </row>
    <row r="76" customFormat="false" ht="34" hidden="false" customHeight="true" outlineLevel="0" collapsed="false">
      <c r="A76" s="17" t="s">
        <v>801</v>
      </c>
      <c r="B76" s="17" t="s">
        <v>48</v>
      </c>
      <c r="C76" s="17" t="s">
        <v>802</v>
      </c>
      <c r="D76" s="17" t="n">
        <f aca="false">COUNTIF('Test Cases'!$B$6:$B$305,A76)</f>
        <v>1</v>
      </c>
      <c r="E76" s="17" t="n">
        <f aca="false">COUNTIFS('Test Cases'!$B$6:$B$305,A76,'Test Cases'!$J$6:$J$305,"PASS")</f>
        <v>1</v>
      </c>
      <c r="F76" s="17" t="n">
        <f aca="false">COUNTIFS('Test Cases'!$B$6:$B$305,A76,'Test Cases'!$J$6:$J$305,"FAIL")</f>
        <v>0</v>
      </c>
      <c r="G76" s="17" t="str">
        <f aca="false">IF(F76=0,"PASS","FAIL")</f>
        <v>PASS</v>
      </c>
      <c r="H76" s="17" t="s">
        <v>95</v>
      </c>
    </row>
    <row r="77" customFormat="false" ht="34" hidden="false" customHeight="true" outlineLevel="0" collapsed="false">
      <c r="A77" s="17" t="s">
        <v>805</v>
      </c>
      <c r="B77" s="17" t="s">
        <v>48</v>
      </c>
      <c r="C77" s="17" t="s">
        <v>806</v>
      </c>
      <c r="D77" s="17" t="n">
        <f aca="false">COUNTIF('Test Cases'!$B$6:$B$305,A77)</f>
        <v>1</v>
      </c>
      <c r="E77" s="17" t="n">
        <f aca="false">COUNTIFS('Test Cases'!$B$6:$B$305,A77,'Test Cases'!$J$6:$J$305,"PASS")</f>
        <v>1</v>
      </c>
      <c r="F77" s="17" t="n">
        <f aca="false">COUNTIFS('Test Cases'!$B$6:$B$305,A77,'Test Cases'!$J$6:$J$305,"FAIL")</f>
        <v>0</v>
      </c>
      <c r="G77" s="17" t="str">
        <f aca="false">IF(F77=0,"PASS","FAIL")</f>
        <v>PASS</v>
      </c>
      <c r="H77" s="17" t="s">
        <v>95</v>
      </c>
    </row>
    <row r="78" customFormat="false" ht="34" hidden="false" customHeight="true" outlineLevel="0" collapsed="false">
      <c r="A78" s="17" t="s">
        <v>808</v>
      </c>
      <c r="B78" s="17" t="s">
        <v>48</v>
      </c>
      <c r="C78" s="17" t="s">
        <v>809</v>
      </c>
      <c r="D78" s="17" t="n">
        <f aca="false">COUNTIF('Test Cases'!$B$6:$B$305,A78)</f>
        <v>1</v>
      </c>
      <c r="E78" s="17" t="n">
        <f aca="false">COUNTIFS('Test Cases'!$B$6:$B$305,A78,'Test Cases'!$J$6:$J$305,"PASS")</f>
        <v>1</v>
      </c>
      <c r="F78" s="17" t="n">
        <f aca="false">COUNTIFS('Test Cases'!$B$6:$B$305,A78,'Test Cases'!$J$6:$J$305,"FAIL")</f>
        <v>0</v>
      </c>
      <c r="G78" s="17" t="str">
        <f aca="false">IF(F78=0,"PASS","FAIL")</f>
        <v>PASS</v>
      </c>
      <c r="H78" s="17" t="s">
        <v>95</v>
      </c>
    </row>
    <row r="79" customFormat="false" ht="34" hidden="false" customHeight="true" outlineLevel="0" collapsed="false">
      <c r="A79" s="17" t="s">
        <v>812</v>
      </c>
      <c r="B79" s="17" t="s">
        <v>48</v>
      </c>
      <c r="C79" s="17" t="s">
        <v>813</v>
      </c>
      <c r="D79" s="17" t="n">
        <f aca="false">COUNTIF('Test Cases'!$B$6:$B$305,A79)</f>
        <v>1</v>
      </c>
      <c r="E79" s="17" t="n">
        <f aca="false">COUNTIFS('Test Cases'!$B$6:$B$305,A79,'Test Cases'!$J$6:$J$305,"PASS")</f>
        <v>1</v>
      </c>
      <c r="F79" s="17" t="n">
        <f aca="false">COUNTIFS('Test Cases'!$B$6:$B$305,A79,'Test Cases'!$J$6:$J$305,"FAIL")</f>
        <v>0</v>
      </c>
      <c r="G79" s="17" t="str">
        <f aca="false">IF(F79=0,"PASS","FAIL")</f>
        <v>PASS</v>
      </c>
      <c r="H79" s="17" t="s">
        <v>95</v>
      </c>
    </row>
    <row r="80" customFormat="false" ht="34" hidden="false" customHeight="true" outlineLevel="0" collapsed="false">
      <c r="A80" s="17" t="s">
        <v>816</v>
      </c>
      <c r="B80" s="17" t="s">
        <v>48</v>
      </c>
      <c r="C80" s="17" t="s">
        <v>817</v>
      </c>
      <c r="D80" s="17" t="n">
        <f aca="false">COUNTIF('Test Cases'!$B$6:$B$305,A80)</f>
        <v>1</v>
      </c>
      <c r="E80" s="17" t="n">
        <f aca="false">COUNTIFS('Test Cases'!$B$6:$B$305,A80,'Test Cases'!$J$6:$J$305,"PASS")</f>
        <v>1</v>
      </c>
      <c r="F80" s="17" t="n">
        <f aca="false">COUNTIFS('Test Cases'!$B$6:$B$305,A80,'Test Cases'!$J$6:$J$305,"FAIL")</f>
        <v>0</v>
      </c>
      <c r="G80" s="17" t="str">
        <f aca="false">IF(F80=0,"PASS","FAIL")</f>
        <v>PASS</v>
      </c>
      <c r="H80" s="17" t="s">
        <v>312</v>
      </c>
    </row>
    <row r="81" customFormat="false" ht="34" hidden="false" customHeight="true" outlineLevel="0" collapsed="false">
      <c r="A81" s="17" t="s">
        <v>819</v>
      </c>
      <c r="B81" s="17" t="s">
        <v>48</v>
      </c>
      <c r="C81" s="17" t="s">
        <v>820</v>
      </c>
      <c r="D81" s="17" t="n">
        <f aca="false">COUNTIF('Test Cases'!$B$6:$B$305,A81)</f>
        <v>1</v>
      </c>
      <c r="E81" s="17" t="n">
        <f aca="false">COUNTIFS('Test Cases'!$B$6:$B$305,A81,'Test Cases'!$J$6:$J$305,"PASS")</f>
        <v>1</v>
      </c>
      <c r="F81" s="17" t="n">
        <f aca="false">COUNTIFS('Test Cases'!$B$6:$B$305,A81,'Test Cases'!$J$6:$J$305,"FAIL")</f>
        <v>0</v>
      </c>
      <c r="G81" s="17" t="str">
        <f aca="false">IF(F81=0,"PASS","FAIL")</f>
        <v>PASS</v>
      </c>
      <c r="H81" s="17" t="s">
        <v>312</v>
      </c>
    </row>
    <row r="82" customFormat="false" ht="34" hidden="false" customHeight="true" outlineLevel="0" collapsed="false">
      <c r="A82" s="17" t="s">
        <v>823</v>
      </c>
      <c r="B82" s="17" t="s">
        <v>48</v>
      </c>
      <c r="C82" s="17" t="s">
        <v>824</v>
      </c>
      <c r="D82" s="17" t="n">
        <f aca="false">COUNTIF('Test Cases'!$B$6:$B$305,A82)</f>
        <v>1</v>
      </c>
      <c r="E82" s="17" t="n">
        <f aca="false">COUNTIFS('Test Cases'!$B$6:$B$305,A82,'Test Cases'!$J$6:$J$305,"PASS")</f>
        <v>1</v>
      </c>
      <c r="F82" s="17" t="n">
        <f aca="false">COUNTIFS('Test Cases'!$B$6:$B$305,A82,'Test Cases'!$J$6:$J$305,"FAIL")</f>
        <v>0</v>
      </c>
      <c r="G82" s="17" t="str">
        <f aca="false">IF(F82=0,"PASS","FAIL")</f>
        <v>PASS</v>
      </c>
      <c r="H82" s="17" t="s">
        <v>312</v>
      </c>
    </row>
    <row r="83" customFormat="false" ht="34" hidden="false" customHeight="true" outlineLevel="0" collapsed="false">
      <c r="A83" s="17" t="s">
        <v>827</v>
      </c>
      <c r="B83" s="17" t="s">
        <v>48</v>
      </c>
      <c r="C83" s="17" t="s">
        <v>828</v>
      </c>
      <c r="D83" s="17" t="n">
        <f aca="false">COUNTIF('Test Cases'!$B$6:$B$305,A83)</f>
        <v>1</v>
      </c>
      <c r="E83" s="17" t="n">
        <f aca="false">COUNTIFS('Test Cases'!$B$6:$B$305,A83,'Test Cases'!$J$6:$J$305,"PASS")</f>
        <v>1</v>
      </c>
      <c r="F83" s="17" t="n">
        <f aca="false">COUNTIFS('Test Cases'!$B$6:$B$305,A83,'Test Cases'!$J$6:$J$305,"FAIL")</f>
        <v>0</v>
      </c>
      <c r="G83" s="17" t="str">
        <f aca="false">IF(F83=0,"PASS","FAIL")</f>
        <v>PASS</v>
      </c>
      <c r="H83" s="17" t="s">
        <v>312</v>
      </c>
    </row>
    <row r="84" customFormat="false" ht="34" hidden="false" customHeight="true" outlineLevel="0" collapsed="false">
      <c r="A84" s="17" t="s">
        <v>843</v>
      </c>
      <c r="B84" s="17" t="s">
        <v>44</v>
      </c>
      <c r="C84" s="17" t="s">
        <v>844</v>
      </c>
      <c r="D84" s="17" t="n">
        <f aca="false">COUNTIF('Test Cases'!$B$6:$B$305,A84)</f>
        <v>20</v>
      </c>
      <c r="E84" s="17" t="n">
        <f aca="false">COUNTIFS('Test Cases'!$B$6:$B$305,A84,'Test Cases'!$J$6:$J$305,"PASS")</f>
        <v>20</v>
      </c>
      <c r="F84" s="17" t="n">
        <f aca="false">COUNTIFS('Test Cases'!$B$6:$B$305,A84,'Test Cases'!$J$6:$J$305,"FAIL")</f>
        <v>0</v>
      </c>
      <c r="G84" s="17" t="str">
        <f aca="false">IF(F84=0,"PASS","FAIL")</f>
        <v>PASS</v>
      </c>
      <c r="H84" s="17" t="s">
        <v>987</v>
      </c>
    </row>
    <row r="85" customFormat="false" ht="34" hidden="false" customHeight="true" outlineLevel="0" collapsed="false">
      <c r="A85" s="17" t="s">
        <v>919</v>
      </c>
      <c r="B85" s="17" t="s">
        <v>45</v>
      </c>
      <c r="C85" s="17" t="s">
        <v>920</v>
      </c>
      <c r="D85" s="17" t="n">
        <f aca="false">COUNTIF('Test Cases'!$B$6:$B$305,A85)</f>
        <v>14</v>
      </c>
      <c r="E85" s="17" t="n">
        <f aca="false">COUNTIFS('Test Cases'!$B$6:$B$305,A85,'Test Cases'!$J$6:$J$305,"PASS")</f>
        <v>14</v>
      </c>
      <c r="F85" s="17" t="n">
        <f aca="false">COUNTIFS('Test Cases'!$B$6:$B$305,A85,'Test Cases'!$J$6:$J$305,"FAIL")</f>
        <v>0</v>
      </c>
      <c r="G85" s="17" t="str">
        <f aca="false">IF(F85=0,"PASS","FAIL")</f>
        <v>PASS</v>
      </c>
      <c r="H85" s="17" t="s">
        <v>988</v>
      </c>
    </row>
  </sheetData>
  <mergeCells count="2">
    <mergeCell ref="A1:H1"/>
    <mergeCell ref="A2:H2"/>
  </mergeCells>
  <conditionalFormatting sqref="G6:G85">
    <cfRule type="containsText" priority="2" operator="containsText" aboveAverage="0" equalAverage="0" bottom="0" percent="0" rank="0" text="PASS" dxfId="24">
      <formula>NOT(ISERROR(SEARCH("PASS",G6)))</formula>
    </cfRule>
    <cfRule type="containsText" priority="3" operator="containsText" aboveAverage="0" equalAverage="0" bottom="0" percent="0" rank="0" text="APPROVED" dxfId="25">
      <formula>NOT(ISERROR(SEARCH("APPROVED",G6)))</formula>
    </cfRule>
    <cfRule type="containsText" priority="4" operator="containsText" aboveAverage="0" equalAverage="0" bottom="0" percent="0" rank="0" text="FAIL" dxfId="26">
      <formula>NOT(ISERROR(SEARCH("FAIL",G6)))</formula>
    </cfRule>
    <cfRule type="containsText" priority="5" operator="containsText" aboveAverage="0" equalAverage="0" bottom="0" percent="0" rank="0" text="BLOCKED" dxfId="27">
      <formula>NOT(ISERROR(SEARCH("BLOCKED",G6)))</formula>
    </cfRule>
    <cfRule type="containsText" priority="6" operator="containsText" aboveAverage="0" equalAverage="0" bottom="0" percent="0" rank="0" text="OPEN" dxfId="28">
      <formula>NOT(ISERROR(SEARCH("OPEN",G6)))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3"/>
    <col collapsed="false" customWidth="true" hidden="false" outlineLevel="0" max="4" min="4" style="0" width="42"/>
    <col collapsed="false" customWidth="true" hidden="false" outlineLevel="0" max="6" min="5" style="0" width="30"/>
    <col collapsed="false" customWidth="true" hidden="false" outlineLevel="0" max="7" min="7" style="0" width="26"/>
    <col collapsed="false" customWidth="true" hidden="false" outlineLevel="0" max="9" min="8" style="0" width="12"/>
  </cols>
  <sheetData>
    <row r="1" customFormat="false" ht="32" hidden="false" customHeight="true" outlineLevel="0" collapsed="false">
      <c r="A1" s="1" t="s">
        <v>989</v>
      </c>
      <c r="B1" s="1"/>
      <c r="C1" s="1"/>
      <c r="D1" s="1"/>
      <c r="E1" s="1"/>
      <c r="F1" s="1"/>
      <c r="G1" s="1"/>
      <c r="H1" s="1"/>
      <c r="I1" s="1"/>
    </row>
    <row r="2" customFormat="false" ht="28" hidden="false" customHeight="true" outlineLevel="0" collapsed="false">
      <c r="A2" s="2" t="s">
        <v>990</v>
      </c>
      <c r="B2" s="2"/>
      <c r="C2" s="2"/>
      <c r="D2" s="2"/>
      <c r="E2" s="2"/>
      <c r="F2" s="2"/>
      <c r="G2" s="2"/>
      <c r="H2" s="2"/>
      <c r="I2" s="2"/>
    </row>
    <row r="5" customFormat="false" ht="30" hidden="false" customHeight="true" outlineLevel="0" collapsed="false">
      <c r="A5" s="12" t="s">
        <v>55</v>
      </c>
      <c r="B5" s="13" t="s">
        <v>991</v>
      </c>
      <c r="C5" s="13" t="s">
        <v>58</v>
      </c>
      <c r="D5" s="13" t="s">
        <v>992</v>
      </c>
      <c r="E5" s="13" t="s">
        <v>993</v>
      </c>
      <c r="F5" s="13" t="s">
        <v>994</v>
      </c>
      <c r="G5" s="13" t="s">
        <v>995</v>
      </c>
      <c r="H5" s="13" t="s">
        <v>63</v>
      </c>
      <c r="I5" s="14" t="s">
        <v>64</v>
      </c>
    </row>
    <row r="6" customFormat="false" ht="38" hidden="false" customHeight="true" outlineLevel="0" collapsed="false">
      <c r="A6" s="15" t="s">
        <v>114</v>
      </c>
      <c r="B6" s="15" t="s">
        <v>115</v>
      </c>
      <c r="C6" s="15" t="s">
        <v>42</v>
      </c>
      <c r="D6" s="15" t="s">
        <v>116</v>
      </c>
      <c r="E6" s="15" t="s">
        <v>117</v>
      </c>
      <c r="F6" s="15" t="s">
        <v>117</v>
      </c>
      <c r="G6" s="15" t="s">
        <v>72</v>
      </c>
      <c r="H6" s="15" t="s">
        <v>73</v>
      </c>
      <c r="I6" s="15" t="s">
        <v>74</v>
      </c>
    </row>
    <row r="7" customFormat="false" ht="38" hidden="false" customHeight="true" outlineLevel="0" collapsed="false">
      <c r="A7" s="17" t="s">
        <v>119</v>
      </c>
      <c r="B7" s="17" t="s">
        <v>120</v>
      </c>
      <c r="C7" s="17" t="s">
        <v>42</v>
      </c>
      <c r="D7" s="17" t="s">
        <v>121</v>
      </c>
      <c r="E7" s="17" t="s">
        <v>122</v>
      </c>
      <c r="F7" s="17" t="s">
        <v>122</v>
      </c>
      <c r="G7" s="17" t="s">
        <v>72</v>
      </c>
      <c r="H7" s="17" t="s">
        <v>105</v>
      </c>
      <c r="I7" s="17" t="s">
        <v>74</v>
      </c>
    </row>
    <row r="8" customFormat="false" ht="38" hidden="false" customHeight="true" outlineLevel="0" collapsed="false">
      <c r="A8" s="17" t="s">
        <v>123</v>
      </c>
      <c r="B8" s="17" t="s">
        <v>124</v>
      </c>
      <c r="C8" s="17" t="s">
        <v>42</v>
      </c>
      <c r="D8" s="17" t="s">
        <v>125</v>
      </c>
      <c r="E8" s="17" t="s">
        <v>126</v>
      </c>
      <c r="F8" s="17" t="s">
        <v>126</v>
      </c>
      <c r="G8" s="17" t="s">
        <v>72</v>
      </c>
      <c r="H8" s="17" t="s">
        <v>73</v>
      </c>
      <c r="I8" s="17" t="s">
        <v>74</v>
      </c>
    </row>
    <row r="9" customFormat="false" ht="38" hidden="false" customHeight="true" outlineLevel="0" collapsed="false">
      <c r="A9" s="17" t="s">
        <v>127</v>
      </c>
      <c r="B9" s="17" t="s">
        <v>128</v>
      </c>
      <c r="C9" s="17" t="s">
        <v>42</v>
      </c>
      <c r="D9" s="17" t="s">
        <v>129</v>
      </c>
      <c r="E9" s="17" t="s">
        <v>130</v>
      </c>
      <c r="F9" s="17" t="s">
        <v>130</v>
      </c>
      <c r="G9" s="17" t="s">
        <v>72</v>
      </c>
      <c r="H9" s="17" t="s">
        <v>73</v>
      </c>
      <c r="I9" s="17" t="s">
        <v>74</v>
      </c>
    </row>
    <row r="10" customFormat="false" ht="38" hidden="false" customHeight="true" outlineLevel="0" collapsed="false">
      <c r="A10" s="17" t="s">
        <v>131</v>
      </c>
      <c r="B10" s="17" t="s">
        <v>132</v>
      </c>
      <c r="C10" s="17" t="s">
        <v>42</v>
      </c>
      <c r="D10" s="17" t="s">
        <v>133</v>
      </c>
      <c r="E10" s="17" t="s">
        <v>134</v>
      </c>
      <c r="F10" s="17" t="s">
        <v>135</v>
      </c>
      <c r="G10" s="17" t="s">
        <v>72</v>
      </c>
      <c r="H10" s="17" t="s">
        <v>73</v>
      </c>
      <c r="I10" s="17" t="s">
        <v>74</v>
      </c>
    </row>
    <row r="11" customFormat="false" ht="38" hidden="false" customHeight="true" outlineLevel="0" collapsed="false">
      <c r="A11" s="17" t="s">
        <v>136</v>
      </c>
      <c r="B11" s="17" t="s">
        <v>137</v>
      </c>
      <c r="C11" s="17" t="s">
        <v>42</v>
      </c>
      <c r="D11" s="17" t="s">
        <v>138</v>
      </c>
      <c r="E11" s="17" t="s">
        <v>139</v>
      </c>
      <c r="F11" s="17" t="s">
        <v>140</v>
      </c>
      <c r="G11" s="17" t="s">
        <v>72</v>
      </c>
      <c r="H11" s="17" t="s">
        <v>73</v>
      </c>
      <c r="I11" s="17" t="s">
        <v>74</v>
      </c>
    </row>
    <row r="12" customFormat="false" ht="38" hidden="false" customHeight="true" outlineLevel="0" collapsed="false">
      <c r="A12" s="17" t="s">
        <v>141</v>
      </c>
      <c r="B12" s="17" t="s">
        <v>142</v>
      </c>
      <c r="C12" s="17" t="s">
        <v>42</v>
      </c>
      <c r="D12" s="17" t="s">
        <v>143</v>
      </c>
      <c r="E12" s="17" t="s">
        <v>144</v>
      </c>
      <c r="F12" s="17" t="s">
        <v>144</v>
      </c>
      <c r="G12" s="17" t="s">
        <v>72</v>
      </c>
      <c r="H12" s="17" t="s">
        <v>105</v>
      </c>
      <c r="I12" s="17" t="s">
        <v>74</v>
      </c>
    </row>
    <row r="13" customFormat="false" ht="38" hidden="false" customHeight="true" outlineLevel="0" collapsed="false">
      <c r="A13" s="17" t="s">
        <v>145</v>
      </c>
      <c r="B13" s="17" t="s">
        <v>146</v>
      </c>
      <c r="C13" s="17" t="s">
        <v>42</v>
      </c>
      <c r="D13" s="17" t="s">
        <v>147</v>
      </c>
      <c r="E13" s="17" t="s">
        <v>117</v>
      </c>
      <c r="F13" s="17" t="s">
        <v>117</v>
      </c>
      <c r="G13" s="17" t="s">
        <v>72</v>
      </c>
      <c r="H13" s="17" t="s">
        <v>73</v>
      </c>
      <c r="I13" s="17" t="s">
        <v>74</v>
      </c>
    </row>
    <row r="14" customFormat="false" ht="38" hidden="false" customHeight="true" outlineLevel="0" collapsed="false">
      <c r="A14" s="17" t="s">
        <v>148</v>
      </c>
      <c r="B14" s="17" t="s">
        <v>149</v>
      </c>
      <c r="C14" s="17" t="s">
        <v>42</v>
      </c>
      <c r="D14" s="17" t="s">
        <v>150</v>
      </c>
      <c r="E14" s="17" t="s">
        <v>151</v>
      </c>
      <c r="F14" s="17" t="s">
        <v>151</v>
      </c>
      <c r="G14" s="17" t="s">
        <v>72</v>
      </c>
      <c r="H14" s="17" t="s">
        <v>105</v>
      </c>
      <c r="I14" s="17" t="s">
        <v>74</v>
      </c>
    </row>
    <row r="15" customFormat="false" ht="38" hidden="false" customHeight="true" outlineLevel="0" collapsed="false">
      <c r="A15" s="17" t="s">
        <v>152</v>
      </c>
      <c r="B15" s="17" t="s">
        <v>153</v>
      </c>
      <c r="C15" s="17" t="s">
        <v>42</v>
      </c>
      <c r="D15" s="17" t="s">
        <v>154</v>
      </c>
      <c r="E15" s="17" t="s">
        <v>155</v>
      </c>
      <c r="F15" s="17" t="s">
        <v>156</v>
      </c>
      <c r="G15" s="17" t="s">
        <v>72</v>
      </c>
      <c r="H15" s="17" t="s">
        <v>73</v>
      </c>
      <c r="I15" s="17" t="s">
        <v>74</v>
      </c>
    </row>
    <row r="16" customFormat="false" ht="38" hidden="false" customHeight="true" outlineLevel="0" collapsed="false">
      <c r="A16" s="17" t="s">
        <v>157</v>
      </c>
      <c r="B16" s="17" t="s">
        <v>158</v>
      </c>
      <c r="C16" s="17" t="s">
        <v>42</v>
      </c>
      <c r="D16" s="17" t="s">
        <v>159</v>
      </c>
      <c r="E16" s="17" t="s">
        <v>160</v>
      </c>
      <c r="F16" s="17" t="s">
        <v>160</v>
      </c>
      <c r="G16" s="17" t="s">
        <v>72</v>
      </c>
      <c r="H16" s="17" t="s">
        <v>105</v>
      </c>
      <c r="I16" s="17" t="s">
        <v>74</v>
      </c>
    </row>
    <row r="17" customFormat="false" ht="38" hidden="false" customHeight="true" outlineLevel="0" collapsed="false">
      <c r="A17" s="17" t="s">
        <v>161</v>
      </c>
      <c r="B17" s="17" t="s">
        <v>162</v>
      </c>
      <c r="C17" s="17" t="s">
        <v>42</v>
      </c>
      <c r="D17" s="17" t="s">
        <v>163</v>
      </c>
      <c r="E17" s="17" t="s">
        <v>164</v>
      </c>
      <c r="F17" s="17" t="s">
        <v>164</v>
      </c>
      <c r="G17" s="17" t="s">
        <v>72</v>
      </c>
      <c r="H17" s="17" t="s">
        <v>73</v>
      </c>
      <c r="I17" s="17" t="s">
        <v>74</v>
      </c>
    </row>
    <row r="18" customFormat="false" ht="38" hidden="false" customHeight="true" outlineLevel="0" collapsed="false">
      <c r="A18" s="17" t="s">
        <v>165</v>
      </c>
      <c r="B18" s="17" t="s">
        <v>166</v>
      </c>
      <c r="C18" s="17" t="s">
        <v>42</v>
      </c>
      <c r="D18" s="17" t="s">
        <v>167</v>
      </c>
      <c r="E18" s="17" t="s">
        <v>117</v>
      </c>
      <c r="F18" s="17" t="s">
        <v>117</v>
      </c>
      <c r="G18" s="17" t="s">
        <v>72</v>
      </c>
      <c r="H18" s="17" t="s">
        <v>73</v>
      </c>
      <c r="I18" s="17" t="s">
        <v>74</v>
      </c>
    </row>
    <row r="19" customFormat="false" ht="38" hidden="false" customHeight="true" outlineLevel="0" collapsed="false">
      <c r="A19" s="17" t="s">
        <v>168</v>
      </c>
      <c r="B19" s="17" t="s">
        <v>169</v>
      </c>
      <c r="C19" s="17" t="s">
        <v>42</v>
      </c>
      <c r="D19" s="17" t="s">
        <v>170</v>
      </c>
      <c r="E19" s="17" t="s">
        <v>171</v>
      </c>
      <c r="F19" s="17" t="s">
        <v>171</v>
      </c>
      <c r="G19" s="17" t="s">
        <v>72</v>
      </c>
      <c r="H19" s="17" t="s">
        <v>105</v>
      </c>
      <c r="I19" s="17" t="s">
        <v>74</v>
      </c>
    </row>
    <row r="20" customFormat="false" ht="38" hidden="false" customHeight="true" outlineLevel="0" collapsed="false">
      <c r="A20" s="17" t="s">
        <v>172</v>
      </c>
      <c r="B20" s="17" t="s">
        <v>173</v>
      </c>
      <c r="C20" s="17" t="s">
        <v>42</v>
      </c>
      <c r="D20" s="17" t="s">
        <v>174</v>
      </c>
      <c r="E20" s="17" t="s">
        <v>175</v>
      </c>
      <c r="F20" s="17" t="s">
        <v>175</v>
      </c>
      <c r="G20" s="17" t="s">
        <v>72</v>
      </c>
      <c r="H20" s="17" t="s">
        <v>73</v>
      </c>
      <c r="I20" s="17" t="s">
        <v>74</v>
      </c>
    </row>
    <row r="21" customFormat="false" ht="38" hidden="false" customHeight="true" outlineLevel="0" collapsed="false">
      <c r="A21" s="17" t="s">
        <v>176</v>
      </c>
      <c r="B21" s="17" t="s">
        <v>177</v>
      </c>
      <c r="C21" s="17" t="s">
        <v>42</v>
      </c>
      <c r="D21" s="17" t="s">
        <v>178</v>
      </c>
      <c r="E21" s="17" t="s">
        <v>164</v>
      </c>
      <c r="F21" s="17" t="s">
        <v>164</v>
      </c>
      <c r="G21" s="17" t="s">
        <v>72</v>
      </c>
      <c r="H21" s="17" t="s">
        <v>73</v>
      </c>
      <c r="I21" s="17" t="s">
        <v>74</v>
      </c>
    </row>
    <row r="22" customFormat="false" ht="38" hidden="false" customHeight="true" outlineLevel="0" collapsed="false">
      <c r="A22" s="17" t="s">
        <v>179</v>
      </c>
      <c r="B22" s="17" t="s">
        <v>180</v>
      </c>
      <c r="C22" s="17" t="s">
        <v>42</v>
      </c>
      <c r="D22" s="17" t="s">
        <v>181</v>
      </c>
      <c r="E22" s="17" t="s">
        <v>182</v>
      </c>
      <c r="F22" s="17" t="s">
        <v>183</v>
      </c>
      <c r="G22" s="17" t="s">
        <v>72</v>
      </c>
      <c r="H22" s="17" t="s">
        <v>73</v>
      </c>
      <c r="I22" s="17" t="s">
        <v>74</v>
      </c>
    </row>
    <row r="23" customFormat="false" ht="38" hidden="false" customHeight="true" outlineLevel="0" collapsed="false">
      <c r="A23" s="17" t="s">
        <v>184</v>
      </c>
      <c r="B23" s="17" t="s">
        <v>185</v>
      </c>
      <c r="C23" s="17" t="s">
        <v>42</v>
      </c>
      <c r="D23" s="17" t="s">
        <v>186</v>
      </c>
      <c r="E23" s="17" t="s">
        <v>182</v>
      </c>
      <c r="F23" s="17" t="s">
        <v>183</v>
      </c>
      <c r="G23" s="17" t="s">
        <v>72</v>
      </c>
      <c r="H23" s="17" t="s">
        <v>73</v>
      </c>
      <c r="I23" s="17" t="s">
        <v>74</v>
      </c>
    </row>
    <row r="24" customFormat="false" ht="38" hidden="false" customHeight="true" outlineLevel="0" collapsed="false">
      <c r="A24" s="17" t="s">
        <v>187</v>
      </c>
      <c r="B24" s="17" t="s">
        <v>188</v>
      </c>
      <c r="C24" s="17" t="s">
        <v>42</v>
      </c>
      <c r="D24" s="17" t="s">
        <v>189</v>
      </c>
      <c r="E24" s="17" t="s">
        <v>182</v>
      </c>
      <c r="F24" s="17" t="s">
        <v>190</v>
      </c>
      <c r="G24" s="17" t="s">
        <v>72</v>
      </c>
      <c r="H24" s="17" t="s">
        <v>105</v>
      </c>
      <c r="I24" s="17" t="s">
        <v>74</v>
      </c>
    </row>
    <row r="25" customFormat="false" ht="38" hidden="false" customHeight="true" outlineLevel="0" collapsed="false">
      <c r="A25" s="17" t="s">
        <v>191</v>
      </c>
      <c r="B25" s="17" t="s">
        <v>192</v>
      </c>
      <c r="C25" s="17" t="s">
        <v>42</v>
      </c>
      <c r="D25" s="17" t="s">
        <v>193</v>
      </c>
      <c r="E25" s="17" t="s">
        <v>194</v>
      </c>
      <c r="F25" s="17" t="s">
        <v>195</v>
      </c>
      <c r="G25" s="17" t="s">
        <v>72</v>
      </c>
      <c r="H25" s="17" t="s">
        <v>73</v>
      </c>
      <c r="I25" s="17" t="s">
        <v>74</v>
      </c>
    </row>
  </sheetData>
  <mergeCells count="2">
    <mergeCell ref="A1:I1"/>
    <mergeCell ref="A2:I2"/>
  </mergeCells>
  <conditionalFormatting sqref="I6:I25">
    <cfRule type="containsText" priority="2" operator="containsText" aboveAverage="0" equalAverage="0" bottom="0" percent="0" rank="0" text="PASS" dxfId="29">
      <formula>NOT(ISERROR(SEARCH("PASS",I6)))</formula>
    </cfRule>
    <cfRule type="containsText" priority="3" operator="containsText" aboveAverage="0" equalAverage="0" bottom="0" percent="0" rank="0" text="APPROVED" dxfId="30">
      <formula>NOT(ISERROR(SEARCH("APPROVED",I6)))</formula>
    </cfRule>
    <cfRule type="containsText" priority="4" operator="containsText" aboveAverage="0" equalAverage="0" bottom="0" percent="0" rank="0" text="FAIL" dxfId="31">
      <formula>NOT(ISERROR(SEARCH("FAIL",I6)))</formula>
    </cfRule>
    <cfRule type="containsText" priority="5" operator="containsText" aboveAverage="0" equalAverage="0" bottom="0" percent="0" rank="0" text="BLOCKED" dxfId="32">
      <formula>NOT(ISERROR(SEARCH("BLOCKED",I6)))</formula>
    </cfRule>
    <cfRule type="containsText" priority="6" operator="containsText" aboveAverage="0" equalAverage="0" bottom="0" percent="0" rank="0" text="OPEN" dxfId="33">
      <formula>NOT(ISERROR(SEARCH("OPEN",I6)))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3"/>
    <col collapsed="false" customWidth="true" hidden="false" outlineLevel="0" max="4" min="4" style="0" width="42"/>
    <col collapsed="false" customWidth="true" hidden="false" outlineLevel="0" max="6" min="5" style="0" width="30"/>
    <col collapsed="false" customWidth="true" hidden="false" outlineLevel="0" max="7" min="7" style="0" width="26"/>
    <col collapsed="false" customWidth="true" hidden="false" outlineLevel="0" max="9" min="8" style="0" width="12"/>
  </cols>
  <sheetData>
    <row r="1" customFormat="false" ht="32" hidden="false" customHeight="true" outlineLevel="0" collapsed="false">
      <c r="A1" s="1" t="s">
        <v>996</v>
      </c>
      <c r="B1" s="1"/>
      <c r="C1" s="1"/>
      <c r="D1" s="1"/>
      <c r="E1" s="1"/>
      <c r="F1" s="1"/>
      <c r="G1" s="1"/>
      <c r="H1" s="1"/>
      <c r="I1" s="1"/>
    </row>
    <row r="2" customFormat="false" ht="28" hidden="false" customHeight="true" outlineLevel="0" collapsed="false">
      <c r="A2" s="2" t="s">
        <v>997</v>
      </c>
      <c r="B2" s="2"/>
      <c r="C2" s="2"/>
      <c r="D2" s="2"/>
      <c r="E2" s="2"/>
      <c r="F2" s="2"/>
      <c r="G2" s="2"/>
      <c r="H2" s="2"/>
      <c r="I2" s="2"/>
    </row>
    <row r="5" customFormat="false" ht="30" hidden="false" customHeight="true" outlineLevel="0" collapsed="false">
      <c r="A5" s="12" t="s">
        <v>55</v>
      </c>
      <c r="B5" s="13" t="s">
        <v>991</v>
      </c>
      <c r="C5" s="13" t="s">
        <v>58</v>
      </c>
      <c r="D5" s="13" t="s">
        <v>992</v>
      </c>
      <c r="E5" s="13" t="s">
        <v>993</v>
      </c>
      <c r="F5" s="13" t="s">
        <v>994</v>
      </c>
      <c r="G5" s="13" t="s">
        <v>995</v>
      </c>
      <c r="H5" s="13" t="s">
        <v>63</v>
      </c>
      <c r="I5" s="14" t="s">
        <v>64</v>
      </c>
    </row>
    <row r="6" customFormat="false" ht="38" hidden="false" customHeight="true" outlineLevel="0" collapsed="false">
      <c r="A6" s="15" t="s">
        <v>263</v>
      </c>
      <c r="B6" s="15" t="s">
        <v>264</v>
      </c>
      <c r="C6" s="15" t="s">
        <v>40</v>
      </c>
      <c r="D6" s="15" t="s">
        <v>265</v>
      </c>
      <c r="E6" s="15" t="s">
        <v>104</v>
      </c>
      <c r="F6" s="15" t="s">
        <v>104</v>
      </c>
      <c r="G6" s="15" t="s">
        <v>72</v>
      </c>
      <c r="H6" s="15" t="s">
        <v>73</v>
      </c>
      <c r="I6" s="15" t="s">
        <v>74</v>
      </c>
    </row>
    <row r="7" customFormat="false" ht="38" hidden="false" customHeight="true" outlineLevel="0" collapsed="false">
      <c r="A7" s="17" t="s">
        <v>266</v>
      </c>
      <c r="B7" s="17" t="s">
        <v>267</v>
      </c>
      <c r="C7" s="17" t="s">
        <v>40</v>
      </c>
      <c r="D7" s="17" t="s">
        <v>268</v>
      </c>
      <c r="E7" s="17" t="s">
        <v>269</v>
      </c>
      <c r="F7" s="17" t="s">
        <v>269</v>
      </c>
      <c r="G7" s="17" t="s">
        <v>72</v>
      </c>
      <c r="H7" s="17" t="s">
        <v>105</v>
      </c>
      <c r="I7" s="17" t="s">
        <v>74</v>
      </c>
    </row>
    <row r="8" customFormat="false" ht="38" hidden="false" customHeight="true" outlineLevel="0" collapsed="false">
      <c r="A8" s="17" t="s">
        <v>271</v>
      </c>
      <c r="B8" s="17" t="s">
        <v>272</v>
      </c>
      <c r="C8" s="17" t="s">
        <v>40</v>
      </c>
      <c r="D8" s="17" t="s">
        <v>273</v>
      </c>
      <c r="E8" s="17" t="s">
        <v>274</v>
      </c>
      <c r="F8" s="17" t="s">
        <v>274</v>
      </c>
      <c r="G8" s="17" t="s">
        <v>72</v>
      </c>
      <c r="H8" s="17" t="s">
        <v>105</v>
      </c>
      <c r="I8" s="17" t="s">
        <v>74</v>
      </c>
    </row>
    <row r="9" customFormat="false" ht="38" hidden="false" customHeight="true" outlineLevel="0" collapsed="false">
      <c r="A9" s="17" t="s">
        <v>275</v>
      </c>
      <c r="B9" s="17" t="s">
        <v>276</v>
      </c>
      <c r="C9" s="17" t="s">
        <v>40</v>
      </c>
      <c r="D9" s="17" t="s">
        <v>277</v>
      </c>
      <c r="E9" s="17" t="s">
        <v>278</v>
      </c>
      <c r="F9" s="17" t="s">
        <v>278</v>
      </c>
      <c r="G9" s="17" t="s">
        <v>72</v>
      </c>
      <c r="H9" s="17" t="s">
        <v>73</v>
      </c>
      <c r="I9" s="17" t="s">
        <v>74</v>
      </c>
    </row>
    <row r="10" customFormat="false" ht="38" hidden="false" customHeight="true" outlineLevel="0" collapsed="false">
      <c r="A10" s="17" t="s">
        <v>280</v>
      </c>
      <c r="B10" s="17" t="s">
        <v>281</v>
      </c>
      <c r="C10" s="17" t="s">
        <v>40</v>
      </c>
      <c r="D10" s="17" t="s">
        <v>282</v>
      </c>
      <c r="E10" s="17" t="s">
        <v>175</v>
      </c>
      <c r="F10" s="17" t="s">
        <v>175</v>
      </c>
      <c r="G10" s="17" t="s">
        <v>72</v>
      </c>
      <c r="H10" s="17" t="s">
        <v>73</v>
      </c>
      <c r="I10" s="17" t="s">
        <v>74</v>
      </c>
    </row>
    <row r="11" customFormat="false" ht="38" hidden="false" customHeight="true" outlineLevel="0" collapsed="false">
      <c r="A11" s="17" t="s">
        <v>283</v>
      </c>
      <c r="B11" s="17" t="s">
        <v>284</v>
      </c>
      <c r="C11" s="17" t="s">
        <v>40</v>
      </c>
      <c r="D11" s="17" t="s">
        <v>285</v>
      </c>
      <c r="E11" s="17" t="s">
        <v>286</v>
      </c>
      <c r="F11" s="17" t="s">
        <v>286</v>
      </c>
      <c r="G11" s="17" t="s">
        <v>72</v>
      </c>
      <c r="H11" s="17" t="s">
        <v>73</v>
      </c>
      <c r="I11" s="17" t="s">
        <v>74</v>
      </c>
    </row>
    <row r="12" customFormat="false" ht="38" hidden="false" customHeight="true" outlineLevel="0" collapsed="false">
      <c r="A12" s="17" t="s">
        <v>288</v>
      </c>
      <c r="B12" s="17" t="s">
        <v>289</v>
      </c>
      <c r="C12" s="17" t="s">
        <v>40</v>
      </c>
      <c r="D12" s="17" t="s">
        <v>290</v>
      </c>
      <c r="E12" s="17" t="s">
        <v>104</v>
      </c>
      <c r="F12" s="17" t="s">
        <v>104</v>
      </c>
      <c r="G12" s="17" t="s">
        <v>72</v>
      </c>
      <c r="H12" s="17" t="s">
        <v>73</v>
      </c>
      <c r="I12" s="17" t="s">
        <v>74</v>
      </c>
    </row>
    <row r="13" customFormat="false" ht="38" hidden="false" customHeight="true" outlineLevel="0" collapsed="false">
      <c r="A13" s="17" t="s">
        <v>292</v>
      </c>
      <c r="B13" s="17" t="s">
        <v>293</v>
      </c>
      <c r="C13" s="17" t="s">
        <v>40</v>
      </c>
      <c r="D13" s="17" t="s">
        <v>294</v>
      </c>
      <c r="E13" s="17" t="s">
        <v>104</v>
      </c>
      <c r="F13" s="17" t="s">
        <v>104</v>
      </c>
      <c r="G13" s="17" t="s">
        <v>72</v>
      </c>
      <c r="H13" s="17" t="s">
        <v>105</v>
      </c>
      <c r="I13" s="17" t="s">
        <v>74</v>
      </c>
    </row>
    <row r="14" customFormat="false" ht="38" hidden="false" customHeight="true" outlineLevel="0" collapsed="false">
      <c r="A14" s="17" t="s">
        <v>296</v>
      </c>
      <c r="B14" s="17" t="s">
        <v>297</v>
      </c>
      <c r="C14" s="17" t="s">
        <v>40</v>
      </c>
      <c r="D14" s="17" t="s">
        <v>298</v>
      </c>
      <c r="E14" s="17" t="s">
        <v>164</v>
      </c>
      <c r="F14" s="17" t="s">
        <v>164</v>
      </c>
      <c r="G14" s="17" t="s">
        <v>72</v>
      </c>
      <c r="H14" s="17" t="s">
        <v>73</v>
      </c>
      <c r="I14" s="17" t="s">
        <v>74</v>
      </c>
    </row>
    <row r="15" customFormat="false" ht="38" hidden="false" customHeight="true" outlineLevel="0" collapsed="false">
      <c r="A15" s="17" t="s">
        <v>300</v>
      </c>
      <c r="B15" s="17" t="s">
        <v>301</v>
      </c>
      <c r="C15" s="17" t="s">
        <v>40</v>
      </c>
      <c r="D15" s="17" t="s">
        <v>302</v>
      </c>
      <c r="E15" s="17" t="s">
        <v>278</v>
      </c>
      <c r="F15" s="17" t="s">
        <v>278</v>
      </c>
      <c r="G15" s="17" t="s">
        <v>72</v>
      </c>
      <c r="H15" s="17" t="s">
        <v>105</v>
      </c>
      <c r="I15" s="17" t="s">
        <v>74</v>
      </c>
    </row>
    <row r="16" customFormat="false" ht="38" hidden="false" customHeight="true" outlineLevel="0" collapsed="false">
      <c r="A16" s="17" t="s">
        <v>304</v>
      </c>
      <c r="B16" s="17" t="s">
        <v>305</v>
      </c>
      <c r="C16" s="17" t="s">
        <v>40</v>
      </c>
      <c r="D16" s="17" t="s">
        <v>306</v>
      </c>
      <c r="E16" s="17" t="s">
        <v>286</v>
      </c>
      <c r="F16" s="17" t="s">
        <v>286</v>
      </c>
      <c r="G16" s="17" t="s">
        <v>72</v>
      </c>
      <c r="H16" s="17" t="s">
        <v>73</v>
      </c>
      <c r="I16" s="17" t="s">
        <v>74</v>
      </c>
    </row>
    <row r="17" customFormat="false" ht="38" hidden="false" customHeight="true" outlineLevel="0" collapsed="false">
      <c r="A17" s="17" t="s">
        <v>308</v>
      </c>
      <c r="B17" s="17" t="s">
        <v>309</v>
      </c>
      <c r="C17" s="17" t="s">
        <v>40</v>
      </c>
      <c r="D17" s="17" t="s">
        <v>310</v>
      </c>
      <c r="E17" s="17" t="s">
        <v>311</v>
      </c>
      <c r="F17" s="17" t="s">
        <v>311</v>
      </c>
      <c r="G17" s="17" t="s">
        <v>72</v>
      </c>
      <c r="H17" s="17" t="s">
        <v>105</v>
      </c>
      <c r="I17" s="17" t="s">
        <v>74</v>
      </c>
    </row>
    <row r="18" customFormat="false" ht="38" hidden="false" customHeight="true" outlineLevel="0" collapsed="false">
      <c r="A18" s="17" t="s">
        <v>313</v>
      </c>
      <c r="B18" s="17" t="s">
        <v>314</v>
      </c>
      <c r="C18" s="17" t="s">
        <v>41</v>
      </c>
      <c r="D18" s="17" t="s">
        <v>315</v>
      </c>
      <c r="E18" s="17" t="s">
        <v>316</v>
      </c>
      <c r="F18" s="17" t="s">
        <v>316</v>
      </c>
      <c r="G18" s="17" t="s">
        <v>72</v>
      </c>
      <c r="H18" s="17" t="s">
        <v>73</v>
      </c>
      <c r="I18" s="17" t="s">
        <v>74</v>
      </c>
    </row>
    <row r="19" customFormat="false" ht="38" hidden="false" customHeight="true" outlineLevel="0" collapsed="false">
      <c r="A19" s="17" t="s">
        <v>318</v>
      </c>
      <c r="B19" s="17" t="s">
        <v>319</v>
      </c>
      <c r="C19" s="17" t="s">
        <v>41</v>
      </c>
      <c r="D19" s="17" t="s">
        <v>320</v>
      </c>
      <c r="E19" s="17" t="s">
        <v>321</v>
      </c>
      <c r="F19" s="17" t="s">
        <v>321</v>
      </c>
      <c r="G19" s="17" t="s">
        <v>72</v>
      </c>
      <c r="H19" s="17" t="s">
        <v>105</v>
      </c>
      <c r="I19" s="17" t="s">
        <v>74</v>
      </c>
    </row>
    <row r="20" customFormat="false" ht="38" hidden="false" customHeight="true" outlineLevel="0" collapsed="false">
      <c r="A20" s="17" t="s">
        <v>322</v>
      </c>
      <c r="B20" s="17" t="s">
        <v>323</v>
      </c>
      <c r="C20" s="17" t="s">
        <v>41</v>
      </c>
      <c r="D20" s="17" t="s">
        <v>324</v>
      </c>
      <c r="E20" s="17" t="s">
        <v>325</v>
      </c>
      <c r="F20" s="17" t="s">
        <v>325</v>
      </c>
      <c r="G20" s="17" t="s">
        <v>72</v>
      </c>
      <c r="H20" s="17" t="s">
        <v>105</v>
      </c>
      <c r="I20" s="17" t="s">
        <v>74</v>
      </c>
    </row>
    <row r="21" customFormat="false" ht="38" hidden="false" customHeight="true" outlineLevel="0" collapsed="false">
      <c r="A21" s="17" t="s">
        <v>326</v>
      </c>
      <c r="B21" s="17" t="s">
        <v>327</v>
      </c>
      <c r="C21" s="17" t="s">
        <v>41</v>
      </c>
      <c r="D21" s="17" t="s">
        <v>328</v>
      </c>
      <c r="E21" s="17" t="s">
        <v>329</v>
      </c>
      <c r="F21" s="17" t="s">
        <v>330</v>
      </c>
      <c r="G21" s="17" t="s">
        <v>72</v>
      </c>
      <c r="H21" s="17" t="s">
        <v>105</v>
      </c>
      <c r="I21" s="17" t="s">
        <v>74</v>
      </c>
    </row>
    <row r="22" customFormat="false" ht="38" hidden="false" customHeight="true" outlineLevel="0" collapsed="false">
      <c r="A22" s="17" t="s">
        <v>332</v>
      </c>
      <c r="B22" s="17" t="s">
        <v>333</v>
      </c>
      <c r="C22" s="17" t="s">
        <v>41</v>
      </c>
      <c r="D22" s="17" t="s">
        <v>334</v>
      </c>
      <c r="E22" s="17" t="s">
        <v>335</v>
      </c>
      <c r="F22" s="17" t="s">
        <v>336</v>
      </c>
      <c r="G22" s="17" t="s">
        <v>72</v>
      </c>
      <c r="H22" s="17" t="s">
        <v>105</v>
      </c>
      <c r="I22" s="17" t="s">
        <v>74</v>
      </c>
    </row>
    <row r="23" customFormat="false" ht="38" hidden="false" customHeight="true" outlineLevel="0" collapsed="false">
      <c r="A23" s="17" t="s">
        <v>338</v>
      </c>
      <c r="B23" s="17" t="s">
        <v>339</v>
      </c>
      <c r="C23" s="17" t="s">
        <v>41</v>
      </c>
      <c r="D23" s="17" t="s">
        <v>340</v>
      </c>
      <c r="E23" s="17" t="s">
        <v>341</v>
      </c>
      <c r="F23" s="17" t="s">
        <v>317</v>
      </c>
      <c r="G23" s="17" t="s">
        <v>72</v>
      </c>
      <c r="H23" s="17" t="s">
        <v>105</v>
      </c>
      <c r="I23" s="17" t="s">
        <v>74</v>
      </c>
    </row>
    <row r="24" customFormat="false" ht="38" hidden="false" customHeight="true" outlineLevel="0" collapsed="false">
      <c r="A24" s="17" t="s">
        <v>343</v>
      </c>
      <c r="B24" s="17" t="s">
        <v>344</v>
      </c>
      <c r="C24" s="17" t="s">
        <v>41</v>
      </c>
      <c r="D24" s="17" t="s">
        <v>345</v>
      </c>
      <c r="E24" s="17" t="s">
        <v>346</v>
      </c>
      <c r="F24" s="17" t="s">
        <v>164</v>
      </c>
      <c r="G24" s="17" t="s">
        <v>72</v>
      </c>
      <c r="H24" s="17" t="s">
        <v>105</v>
      </c>
      <c r="I24" s="17" t="s">
        <v>74</v>
      </c>
    </row>
    <row r="25" customFormat="false" ht="38" hidden="false" customHeight="true" outlineLevel="0" collapsed="false">
      <c r="A25" s="17" t="s">
        <v>348</v>
      </c>
      <c r="B25" s="17" t="s">
        <v>349</v>
      </c>
      <c r="C25" s="17" t="s">
        <v>39</v>
      </c>
      <c r="D25" s="17" t="s">
        <v>350</v>
      </c>
      <c r="E25" s="17" t="s">
        <v>351</v>
      </c>
      <c r="F25" s="17" t="s">
        <v>352</v>
      </c>
      <c r="G25" s="17" t="s">
        <v>72</v>
      </c>
      <c r="H25" s="17" t="s">
        <v>73</v>
      </c>
      <c r="I25" s="17" t="s">
        <v>74</v>
      </c>
    </row>
    <row r="26" customFormat="false" ht="38" hidden="false" customHeight="true" outlineLevel="0" collapsed="false">
      <c r="A26" s="17" t="s">
        <v>353</v>
      </c>
      <c r="B26" s="17" t="s">
        <v>349</v>
      </c>
      <c r="C26" s="17" t="s">
        <v>39</v>
      </c>
      <c r="D26" s="17" t="s">
        <v>354</v>
      </c>
      <c r="E26" s="17" t="s">
        <v>351</v>
      </c>
      <c r="F26" s="17" t="s">
        <v>355</v>
      </c>
      <c r="G26" s="17" t="s">
        <v>72</v>
      </c>
      <c r="H26" s="17" t="s">
        <v>73</v>
      </c>
      <c r="I26" s="17" t="s">
        <v>74</v>
      </c>
    </row>
    <row r="27" customFormat="false" ht="38" hidden="false" customHeight="true" outlineLevel="0" collapsed="false">
      <c r="A27" s="17" t="s">
        <v>356</v>
      </c>
      <c r="B27" s="17" t="s">
        <v>349</v>
      </c>
      <c r="C27" s="17" t="s">
        <v>39</v>
      </c>
      <c r="D27" s="17" t="s">
        <v>357</v>
      </c>
      <c r="E27" s="17" t="s">
        <v>351</v>
      </c>
      <c r="F27" s="17" t="s">
        <v>358</v>
      </c>
      <c r="G27" s="17" t="s">
        <v>72</v>
      </c>
      <c r="H27" s="17" t="s">
        <v>73</v>
      </c>
      <c r="I27" s="17" t="s">
        <v>74</v>
      </c>
    </row>
    <row r="28" customFormat="false" ht="38" hidden="false" customHeight="true" outlineLevel="0" collapsed="false">
      <c r="A28" s="17" t="s">
        <v>359</v>
      </c>
      <c r="B28" s="17" t="s">
        <v>349</v>
      </c>
      <c r="C28" s="17" t="s">
        <v>39</v>
      </c>
      <c r="D28" s="17" t="s">
        <v>360</v>
      </c>
      <c r="E28" s="17" t="s">
        <v>351</v>
      </c>
      <c r="F28" s="17" t="s">
        <v>361</v>
      </c>
      <c r="G28" s="17" t="s">
        <v>72</v>
      </c>
      <c r="H28" s="17" t="s">
        <v>73</v>
      </c>
      <c r="I28" s="17" t="s">
        <v>74</v>
      </c>
    </row>
    <row r="29" customFormat="false" ht="38" hidden="false" customHeight="true" outlineLevel="0" collapsed="false">
      <c r="A29" s="17" t="s">
        <v>362</v>
      </c>
      <c r="B29" s="17" t="s">
        <v>349</v>
      </c>
      <c r="C29" s="17" t="s">
        <v>39</v>
      </c>
      <c r="D29" s="17" t="s">
        <v>363</v>
      </c>
      <c r="E29" s="17" t="s">
        <v>351</v>
      </c>
      <c r="F29" s="17" t="s">
        <v>364</v>
      </c>
      <c r="G29" s="17" t="s">
        <v>72</v>
      </c>
      <c r="H29" s="17" t="s">
        <v>73</v>
      </c>
      <c r="I29" s="17" t="s">
        <v>74</v>
      </c>
    </row>
    <row r="30" customFormat="false" ht="38" hidden="false" customHeight="true" outlineLevel="0" collapsed="false">
      <c r="A30" s="17" t="s">
        <v>365</v>
      </c>
      <c r="B30" s="17" t="s">
        <v>349</v>
      </c>
      <c r="C30" s="17" t="s">
        <v>39</v>
      </c>
      <c r="D30" s="17" t="s">
        <v>366</v>
      </c>
      <c r="E30" s="17" t="s">
        <v>351</v>
      </c>
      <c r="F30" s="17" t="s">
        <v>367</v>
      </c>
      <c r="G30" s="17" t="s">
        <v>72</v>
      </c>
      <c r="H30" s="17" t="s">
        <v>73</v>
      </c>
      <c r="I30" s="17" t="s">
        <v>74</v>
      </c>
    </row>
    <row r="31" customFormat="false" ht="38" hidden="false" customHeight="true" outlineLevel="0" collapsed="false">
      <c r="A31" s="17" t="s">
        <v>368</v>
      </c>
      <c r="B31" s="17" t="s">
        <v>349</v>
      </c>
      <c r="C31" s="17" t="s">
        <v>39</v>
      </c>
      <c r="D31" s="17" t="s">
        <v>369</v>
      </c>
      <c r="E31" s="17" t="s">
        <v>351</v>
      </c>
      <c r="F31" s="17" t="s">
        <v>370</v>
      </c>
      <c r="G31" s="17" t="s">
        <v>72</v>
      </c>
      <c r="H31" s="17" t="s">
        <v>73</v>
      </c>
      <c r="I31" s="17" t="s">
        <v>74</v>
      </c>
    </row>
    <row r="32" customFormat="false" ht="38" hidden="false" customHeight="true" outlineLevel="0" collapsed="false">
      <c r="A32" s="17" t="s">
        <v>371</v>
      </c>
      <c r="B32" s="17" t="s">
        <v>349</v>
      </c>
      <c r="C32" s="17" t="s">
        <v>39</v>
      </c>
      <c r="D32" s="17" t="s">
        <v>372</v>
      </c>
      <c r="E32" s="17" t="s">
        <v>351</v>
      </c>
      <c r="F32" s="17" t="s">
        <v>373</v>
      </c>
      <c r="G32" s="17" t="s">
        <v>72</v>
      </c>
      <c r="H32" s="17" t="s">
        <v>73</v>
      </c>
      <c r="I32" s="17" t="s">
        <v>74</v>
      </c>
    </row>
    <row r="33" customFormat="false" ht="38" hidden="false" customHeight="true" outlineLevel="0" collapsed="false">
      <c r="A33" s="17" t="s">
        <v>374</v>
      </c>
      <c r="B33" s="17" t="s">
        <v>349</v>
      </c>
      <c r="C33" s="17" t="s">
        <v>39</v>
      </c>
      <c r="D33" s="17" t="s">
        <v>375</v>
      </c>
      <c r="E33" s="17" t="s">
        <v>351</v>
      </c>
      <c r="F33" s="17" t="s">
        <v>316</v>
      </c>
      <c r="G33" s="17" t="s">
        <v>72</v>
      </c>
      <c r="H33" s="17" t="s">
        <v>73</v>
      </c>
      <c r="I33" s="17" t="s">
        <v>74</v>
      </c>
    </row>
    <row r="34" customFormat="false" ht="38" hidden="false" customHeight="true" outlineLevel="0" collapsed="false">
      <c r="A34" s="17" t="s">
        <v>376</v>
      </c>
      <c r="B34" s="17" t="s">
        <v>349</v>
      </c>
      <c r="C34" s="17" t="s">
        <v>39</v>
      </c>
      <c r="D34" s="17" t="s">
        <v>377</v>
      </c>
      <c r="E34" s="17" t="s">
        <v>351</v>
      </c>
      <c r="F34" s="17" t="s">
        <v>378</v>
      </c>
      <c r="G34" s="17" t="s">
        <v>72</v>
      </c>
      <c r="H34" s="17" t="s">
        <v>73</v>
      </c>
      <c r="I34" s="17" t="s">
        <v>74</v>
      </c>
    </row>
    <row r="35" customFormat="false" ht="38" hidden="false" customHeight="true" outlineLevel="0" collapsed="false">
      <c r="A35" s="17" t="s">
        <v>379</v>
      </c>
      <c r="B35" s="17" t="s">
        <v>349</v>
      </c>
      <c r="C35" s="17" t="s">
        <v>39</v>
      </c>
      <c r="D35" s="17" t="s">
        <v>380</v>
      </c>
      <c r="E35" s="17" t="s">
        <v>351</v>
      </c>
      <c r="F35" s="17" t="s">
        <v>381</v>
      </c>
      <c r="G35" s="17" t="s">
        <v>72</v>
      </c>
      <c r="H35" s="17" t="s">
        <v>73</v>
      </c>
      <c r="I35" s="17" t="s">
        <v>74</v>
      </c>
    </row>
    <row r="36" customFormat="false" ht="38" hidden="false" customHeight="true" outlineLevel="0" collapsed="false">
      <c r="A36" s="17" t="s">
        <v>382</v>
      </c>
      <c r="B36" s="17" t="s">
        <v>349</v>
      </c>
      <c r="C36" s="17" t="s">
        <v>39</v>
      </c>
      <c r="D36" s="17" t="s">
        <v>383</v>
      </c>
      <c r="E36" s="17" t="s">
        <v>351</v>
      </c>
      <c r="F36" s="17" t="s">
        <v>384</v>
      </c>
      <c r="G36" s="17" t="s">
        <v>72</v>
      </c>
      <c r="H36" s="17" t="s">
        <v>73</v>
      </c>
      <c r="I36" s="17" t="s">
        <v>74</v>
      </c>
    </row>
    <row r="37" customFormat="false" ht="38" hidden="false" customHeight="true" outlineLevel="0" collapsed="false">
      <c r="A37" s="17" t="s">
        <v>385</v>
      </c>
      <c r="B37" s="17" t="s">
        <v>349</v>
      </c>
      <c r="C37" s="17" t="s">
        <v>39</v>
      </c>
      <c r="D37" s="17" t="s">
        <v>386</v>
      </c>
      <c r="E37" s="17" t="s">
        <v>351</v>
      </c>
      <c r="F37" s="17" t="s">
        <v>387</v>
      </c>
      <c r="G37" s="17" t="s">
        <v>72</v>
      </c>
      <c r="H37" s="17" t="s">
        <v>73</v>
      </c>
      <c r="I37" s="17" t="s">
        <v>74</v>
      </c>
    </row>
    <row r="38" customFormat="false" ht="38" hidden="false" customHeight="true" outlineLevel="0" collapsed="false">
      <c r="A38" s="17" t="s">
        <v>388</v>
      </c>
      <c r="B38" s="17" t="s">
        <v>349</v>
      </c>
      <c r="C38" s="17" t="s">
        <v>39</v>
      </c>
      <c r="D38" s="17" t="s">
        <v>389</v>
      </c>
      <c r="E38" s="17" t="s">
        <v>351</v>
      </c>
      <c r="F38" s="17" t="s">
        <v>321</v>
      </c>
      <c r="G38" s="17" t="s">
        <v>72</v>
      </c>
      <c r="H38" s="17" t="s">
        <v>73</v>
      </c>
      <c r="I38" s="17" t="s">
        <v>74</v>
      </c>
    </row>
    <row r="39" customFormat="false" ht="38" hidden="false" customHeight="true" outlineLevel="0" collapsed="false">
      <c r="A39" s="17" t="s">
        <v>390</v>
      </c>
      <c r="B39" s="17" t="s">
        <v>349</v>
      </c>
      <c r="C39" s="17" t="s">
        <v>39</v>
      </c>
      <c r="D39" s="17" t="s">
        <v>391</v>
      </c>
      <c r="E39" s="17" t="s">
        <v>351</v>
      </c>
      <c r="F39" s="17" t="s">
        <v>392</v>
      </c>
      <c r="G39" s="17" t="s">
        <v>72</v>
      </c>
      <c r="H39" s="17" t="s">
        <v>73</v>
      </c>
      <c r="I39" s="17" t="s">
        <v>74</v>
      </c>
    </row>
    <row r="40" customFormat="false" ht="38" hidden="false" customHeight="true" outlineLevel="0" collapsed="false">
      <c r="A40" s="17" t="s">
        <v>393</v>
      </c>
      <c r="B40" s="17" t="s">
        <v>349</v>
      </c>
      <c r="C40" s="17" t="s">
        <v>39</v>
      </c>
      <c r="D40" s="17" t="s">
        <v>394</v>
      </c>
      <c r="E40" s="17" t="s">
        <v>351</v>
      </c>
      <c r="F40" s="17" t="s">
        <v>395</v>
      </c>
      <c r="G40" s="17" t="s">
        <v>72</v>
      </c>
      <c r="H40" s="17" t="s">
        <v>73</v>
      </c>
      <c r="I40" s="17" t="s">
        <v>74</v>
      </c>
    </row>
    <row r="41" customFormat="false" ht="38" hidden="false" customHeight="true" outlineLevel="0" collapsed="false">
      <c r="A41" s="17" t="s">
        <v>396</v>
      </c>
      <c r="B41" s="17" t="s">
        <v>349</v>
      </c>
      <c r="C41" s="17" t="s">
        <v>39</v>
      </c>
      <c r="D41" s="17" t="s">
        <v>397</v>
      </c>
      <c r="E41" s="17" t="s">
        <v>351</v>
      </c>
      <c r="F41" s="17" t="s">
        <v>398</v>
      </c>
      <c r="G41" s="17" t="s">
        <v>72</v>
      </c>
      <c r="H41" s="17" t="s">
        <v>73</v>
      </c>
      <c r="I41" s="17" t="s">
        <v>74</v>
      </c>
    </row>
    <row r="42" customFormat="false" ht="38" hidden="false" customHeight="true" outlineLevel="0" collapsed="false">
      <c r="A42" s="17" t="s">
        <v>399</v>
      </c>
      <c r="B42" s="17" t="s">
        <v>349</v>
      </c>
      <c r="C42" s="17" t="s">
        <v>39</v>
      </c>
      <c r="D42" s="17" t="s">
        <v>400</v>
      </c>
      <c r="E42" s="17" t="s">
        <v>351</v>
      </c>
      <c r="F42" s="17" t="s">
        <v>325</v>
      </c>
      <c r="G42" s="17" t="s">
        <v>72</v>
      </c>
      <c r="H42" s="17" t="s">
        <v>73</v>
      </c>
      <c r="I42" s="17" t="s">
        <v>74</v>
      </c>
    </row>
    <row r="43" customFormat="false" ht="38" hidden="false" customHeight="true" outlineLevel="0" collapsed="false">
      <c r="A43" s="17" t="s">
        <v>401</v>
      </c>
      <c r="B43" s="17" t="s">
        <v>264</v>
      </c>
      <c r="C43" s="17" t="s">
        <v>40</v>
      </c>
      <c r="D43" s="17" t="s">
        <v>402</v>
      </c>
      <c r="E43" s="17" t="s">
        <v>403</v>
      </c>
      <c r="F43" s="17" t="s">
        <v>403</v>
      </c>
      <c r="G43" s="17" t="s">
        <v>72</v>
      </c>
      <c r="H43" s="17" t="s">
        <v>73</v>
      </c>
      <c r="I43" s="17" t="s">
        <v>74</v>
      </c>
    </row>
    <row r="44" customFormat="false" ht="38" hidden="false" customHeight="true" outlineLevel="0" collapsed="false">
      <c r="A44" s="17" t="s">
        <v>404</v>
      </c>
      <c r="B44" s="17" t="s">
        <v>267</v>
      </c>
      <c r="C44" s="17" t="s">
        <v>40</v>
      </c>
      <c r="D44" s="17" t="s">
        <v>405</v>
      </c>
      <c r="E44" s="17" t="s">
        <v>269</v>
      </c>
      <c r="F44" s="17" t="s">
        <v>269</v>
      </c>
      <c r="G44" s="17" t="s">
        <v>72</v>
      </c>
      <c r="H44" s="17" t="s">
        <v>105</v>
      </c>
      <c r="I44" s="17" t="s">
        <v>74</v>
      </c>
    </row>
    <row r="45" customFormat="false" ht="38" hidden="false" customHeight="true" outlineLevel="0" collapsed="false">
      <c r="A45" s="17" t="s">
        <v>406</v>
      </c>
      <c r="B45" s="17" t="s">
        <v>272</v>
      </c>
      <c r="C45" s="17" t="s">
        <v>40</v>
      </c>
      <c r="D45" s="17" t="s">
        <v>407</v>
      </c>
      <c r="E45" s="17" t="s">
        <v>274</v>
      </c>
      <c r="F45" s="17" t="s">
        <v>274</v>
      </c>
      <c r="G45" s="17" t="s">
        <v>72</v>
      </c>
      <c r="H45" s="17" t="s">
        <v>105</v>
      </c>
      <c r="I45" s="17" t="s">
        <v>74</v>
      </c>
    </row>
    <row r="46" customFormat="false" ht="38" hidden="false" customHeight="true" outlineLevel="0" collapsed="false">
      <c r="A46" s="17" t="s">
        <v>408</v>
      </c>
      <c r="B46" s="17" t="s">
        <v>276</v>
      </c>
      <c r="C46" s="17" t="s">
        <v>40</v>
      </c>
      <c r="D46" s="17" t="s">
        <v>409</v>
      </c>
      <c r="E46" s="17" t="s">
        <v>278</v>
      </c>
      <c r="F46" s="17" t="s">
        <v>278</v>
      </c>
      <c r="G46" s="17" t="s">
        <v>72</v>
      </c>
      <c r="H46" s="17" t="s">
        <v>73</v>
      </c>
      <c r="I46" s="17" t="s">
        <v>74</v>
      </c>
    </row>
    <row r="47" customFormat="false" ht="38" hidden="false" customHeight="true" outlineLevel="0" collapsed="false">
      <c r="A47" s="17" t="s">
        <v>410</v>
      </c>
      <c r="B47" s="17" t="s">
        <v>281</v>
      </c>
      <c r="C47" s="17" t="s">
        <v>40</v>
      </c>
      <c r="D47" s="17" t="s">
        <v>411</v>
      </c>
      <c r="E47" s="17" t="s">
        <v>175</v>
      </c>
      <c r="F47" s="17" t="s">
        <v>175</v>
      </c>
      <c r="G47" s="17" t="s">
        <v>72</v>
      </c>
      <c r="H47" s="17" t="s">
        <v>73</v>
      </c>
      <c r="I47" s="17" t="s">
        <v>74</v>
      </c>
    </row>
    <row r="48" customFormat="false" ht="38" hidden="false" customHeight="true" outlineLevel="0" collapsed="false">
      <c r="A48" s="17" t="s">
        <v>412</v>
      </c>
      <c r="B48" s="17" t="s">
        <v>284</v>
      </c>
      <c r="C48" s="17" t="s">
        <v>40</v>
      </c>
      <c r="D48" s="17" t="s">
        <v>413</v>
      </c>
      <c r="E48" s="17" t="s">
        <v>286</v>
      </c>
      <c r="F48" s="17" t="s">
        <v>286</v>
      </c>
      <c r="G48" s="17" t="s">
        <v>72</v>
      </c>
      <c r="H48" s="17" t="s">
        <v>73</v>
      </c>
      <c r="I48" s="17" t="s">
        <v>74</v>
      </c>
    </row>
    <row r="49" customFormat="false" ht="38" hidden="false" customHeight="true" outlineLevel="0" collapsed="false">
      <c r="A49" s="17" t="s">
        <v>414</v>
      </c>
      <c r="B49" s="17" t="s">
        <v>289</v>
      </c>
      <c r="C49" s="17" t="s">
        <v>40</v>
      </c>
      <c r="D49" s="17" t="s">
        <v>415</v>
      </c>
      <c r="E49" s="17" t="s">
        <v>104</v>
      </c>
      <c r="F49" s="17" t="s">
        <v>104</v>
      </c>
      <c r="G49" s="17" t="s">
        <v>72</v>
      </c>
      <c r="H49" s="17" t="s">
        <v>73</v>
      </c>
      <c r="I49" s="17" t="s">
        <v>74</v>
      </c>
    </row>
    <row r="50" customFormat="false" ht="38" hidden="false" customHeight="true" outlineLevel="0" collapsed="false">
      <c r="A50" s="17" t="s">
        <v>416</v>
      </c>
      <c r="B50" s="17" t="s">
        <v>293</v>
      </c>
      <c r="C50" s="17" t="s">
        <v>40</v>
      </c>
      <c r="D50" s="17" t="s">
        <v>417</v>
      </c>
      <c r="E50" s="17" t="s">
        <v>104</v>
      </c>
      <c r="F50" s="17" t="s">
        <v>104</v>
      </c>
      <c r="G50" s="17" t="s">
        <v>72</v>
      </c>
      <c r="H50" s="17" t="s">
        <v>105</v>
      </c>
      <c r="I50" s="17" t="s">
        <v>74</v>
      </c>
    </row>
    <row r="51" customFormat="false" ht="38" hidden="false" customHeight="true" outlineLevel="0" collapsed="false">
      <c r="A51" s="17" t="s">
        <v>418</v>
      </c>
      <c r="B51" s="17" t="s">
        <v>297</v>
      </c>
      <c r="C51" s="17" t="s">
        <v>40</v>
      </c>
      <c r="D51" s="17" t="s">
        <v>419</v>
      </c>
      <c r="E51" s="17" t="s">
        <v>164</v>
      </c>
      <c r="F51" s="17" t="s">
        <v>164</v>
      </c>
      <c r="G51" s="17" t="s">
        <v>72</v>
      </c>
      <c r="H51" s="17" t="s">
        <v>73</v>
      </c>
      <c r="I51" s="17" t="s">
        <v>74</v>
      </c>
    </row>
    <row r="52" customFormat="false" ht="38" hidden="false" customHeight="true" outlineLevel="0" collapsed="false">
      <c r="A52" s="17" t="s">
        <v>420</v>
      </c>
      <c r="B52" s="17" t="s">
        <v>301</v>
      </c>
      <c r="C52" s="17" t="s">
        <v>40</v>
      </c>
      <c r="D52" s="17" t="s">
        <v>421</v>
      </c>
      <c r="E52" s="17" t="s">
        <v>278</v>
      </c>
      <c r="F52" s="17" t="s">
        <v>278</v>
      </c>
      <c r="G52" s="17" t="s">
        <v>72</v>
      </c>
      <c r="H52" s="17" t="s">
        <v>105</v>
      </c>
      <c r="I52" s="17" t="s">
        <v>74</v>
      </c>
    </row>
    <row r="53" customFormat="false" ht="38" hidden="false" customHeight="true" outlineLevel="0" collapsed="false">
      <c r="A53" s="17" t="s">
        <v>422</v>
      </c>
      <c r="B53" s="17" t="s">
        <v>305</v>
      </c>
      <c r="C53" s="17" t="s">
        <v>40</v>
      </c>
      <c r="D53" s="17" t="s">
        <v>423</v>
      </c>
      <c r="E53" s="17" t="s">
        <v>286</v>
      </c>
      <c r="F53" s="17" t="s">
        <v>286</v>
      </c>
      <c r="G53" s="17" t="s">
        <v>72</v>
      </c>
      <c r="H53" s="17" t="s">
        <v>73</v>
      </c>
      <c r="I53" s="17" t="s">
        <v>74</v>
      </c>
    </row>
    <row r="54" customFormat="false" ht="38" hidden="false" customHeight="true" outlineLevel="0" collapsed="false">
      <c r="A54" s="17" t="s">
        <v>425</v>
      </c>
      <c r="B54" s="17" t="s">
        <v>309</v>
      </c>
      <c r="C54" s="17" t="s">
        <v>40</v>
      </c>
      <c r="D54" s="17" t="s">
        <v>426</v>
      </c>
      <c r="E54" s="17" t="s">
        <v>311</v>
      </c>
      <c r="F54" s="17" t="s">
        <v>311</v>
      </c>
      <c r="G54" s="17" t="s">
        <v>72</v>
      </c>
      <c r="H54" s="17" t="s">
        <v>105</v>
      </c>
      <c r="I54" s="17" t="s">
        <v>74</v>
      </c>
    </row>
    <row r="55" customFormat="false" ht="38" hidden="false" customHeight="true" outlineLevel="0" collapsed="false">
      <c r="A55" s="17" t="s">
        <v>427</v>
      </c>
      <c r="B55" s="17" t="s">
        <v>314</v>
      </c>
      <c r="C55" s="17" t="s">
        <v>41</v>
      </c>
      <c r="D55" s="17" t="s">
        <v>428</v>
      </c>
      <c r="E55" s="17" t="s">
        <v>316</v>
      </c>
      <c r="F55" s="17" t="s">
        <v>316</v>
      </c>
      <c r="G55" s="17" t="s">
        <v>72</v>
      </c>
      <c r="H55" s="17" t="s">
        <v>73</v>
      </c>
      <c r="I55" s="17" t="s">
        <v>74</v>
      </c>
    </row>
    <row r="56" customFormat="false" ht="38" hidden="false" customHeight="true" outlineLevel="0" collapsed="false">
      <c r="A56" s="17" t="s">
        <v>430</v>
      </c>
      <c r="B56" s="17" t="s">
        <v>319</v>
      </c>
      <c r="C56" s="17" t="s">
        <v>41</v>
      </c>
      <c r="D56" s="17" t="s">
        <v>431</v>
      </c>
      <c r="E56" s="17" t="s">
        <v>321</v>
      </c>
      <c r="F56" s="17" t="s">
        <v>321</v>
      </c>
      <c r="G56" s="17" t="s">
        <v>72</v>
      </c>
      <c r="H56" s="17" t="s">
        <v>105</v>
      </c>
      <c r="I56" s="17" t="s">
        <v>74</v>
      </c>
    </row>
    <row r="57" customFormat="false" ht="38" hidden="false" customHeight="true" outlineLevel="0" collapsed="false">
      <c r="A57" s="17" t="s">
        <v>432</v>
      </c>
      <c r="B57" s="17" t="s">
        <v>323</v>
      </c>
      <c r="C57" s="17" t="s">
        <v>41</v>
      </c>
      <c r="D57" s="17" t="s">
        <v>433</v>
      </c>
      <c r="E57" s="17" t="s">
        <v>370</v>
      </c>
      <c r="F57" s="17" t="s">
        <v>370</v>
      </c>
      <c r="G57" s="17" t="s">
        <v>72</v>
      </c>
      <c r="H57" s="17" t="s">
        <v>105</v>
      </c>
      <c r="I57" s="17" t="s">
        <v>74</v>
      </c>
    </row>
    <row r="58" customFormat="false" ht="38" hidden="false" customHeight="true" outlineLevel="0" collapsed="false">
      <c r="A58" s="17" t="s">
        <v>434</v>
      </c>
      <c r="B58" s="17" t="s">
        <v>327</v>
      </c>
      <c r="C58" s="17" t="s">
        <v>41</v>
      </c>
      <c r="D58" s="17" t="s">
        <v>435</v>
      </c>
      <c r="E58" s="17" t="s">
        <v>436</v>
      </c>
      <c r="F58" s="17" t="s">
        <v>286</v>
      </c>
      <c r="G58" s="17" t="s">
        <v>72</v>
      </c>
      <c r="H58" s="17" t="s">
        <v>105</v>
      </c>
      <c r="I58" s="17" t="s">
        <v>74</v>
      </c>
    </row>
    <row r="59" customFormat="false" ht="38" hidden="false" customHeight="true" outlineLevel="0" collapsed="false">
      <c r="A59" s="17" t="s">
        <v>438</v>
      </c>
      <c r="B59" s="17" t="s">
        <v>333</v>
      </c>
      <c r="C59" s="17" t="s">
        <v>41</v>
      </c>
      <c r="D59" s="17" t="s">
        <v>439</v>
      </c>
      <c r="E59" s="17" t="s">
        <v>335</v>
      </c>
      <c r="F59" s="17" t="s">
        <v>336</v>
      </c>
      <c r="G59" s="17" t="s">
        <v>72</v>
      </c>
      <c r="H59" s="17" t="s">
        <v>105</v>
      </c>
      <c r="I59" s="17" t="s">
        <v>74</v>
      </c>
    </row>
    <row r="60" customFormat="false" ht="38" hidden="false" customHeight="true" outlineLevel="0" collapsed="false">
      <c r="A60" s="17" t="s">
        <v>440</v>
      </c>
      <c r="B60" s="17" t="s">
        <v>339</v>
      </c>
      <c r="C60" s="17" t="s">
        <v>41</v>
      </c>
      <c r="D60" s="17" t="s">
        <v>441</v>
      </c>
      <c r="E60" s="17" t="s">
        <v>341</v>
      </c>
      <c r="F60" s="17" t="s">
        <v>429</v>
      </c>
      <c r="G60" s="17" t="s">
        <v>72</v>
      </c>
      <c r="H60" s="17" t="s">
        <v>105</v>
      </c>
      <c r="I60" s="17" t="s">
        <v>74</v>
      </c>
    </row>
    <row r="61" customFormat="false" ht="38" hidden="false" customHeight="true" outlineLevel="0" collapsed="false">
      <c r="A61" s="17" t="s">
        <v>442</v>
      </c>
      <c r="B61" s="17" t="s">
        <v>344</v>
      </c>
      <c r="C61" s="17" t="s">
        <v>41</v>
      </c>
      <c r="D61" s="17" t="s">
        <v>443</v>
      </c>
      <c r="E61" s="17" t="s">
        <v>346</v>
      </c>
      <c r="F61" s="17" t="s">
        <v>164</v>
      </c>
      <c r="G61" s="17" t="s">
        <v>72</v>
      </c>
      <c r="H61" s="17" t="s">
        <v>105</v>
      </c>
      <c r="I61" s="17" t="s">
        <v>74</v>
      </c>
    </row>
    <row r="62" customFormat="false" ht="38" hidden="false" customHeight="true" outlineLevel="0" collapsed="false">
      <c r="A62" s="17" t="s">
        <v>444</v>
      </c>
      <c r="B62" s="17" t="s">
        <v>349</v>
      </c>
      <c r="C62" s="17" t="s">
        <v>39</v>
      </c>
      <c r="D62" s="17" t="s">
        <v>445</v>
      </c>
      <c r="E62" s="17" t="s">
        <v>351</v>
      </c>
      <c r="F62" s="17" t="s">
        <v>352</v>
      </c>
      <c r="G62" s="17" t="s">
        <v>72</v>
      </c>
      <c r="H62" s="17" t="s">
        <v>73</v>
      </c>
      <c r="I62" s="17" t="s">
        <v>74</v>
      </c>
    </row>
    <row r="63" customFormat="false" ht="38" hidden="false" customHeight="true" outlineLevel="0" collapsed="false">
      <c r="A63" s="17" t="s">
        <v>446</v>
      </c>
      <c r="B63" s="17" t="s">
        <v>349</v>
      </c>
      <c r="C63" s="17" t="s">
        <v>39</v>
      </c>
      <c r="D63" s="17" t="s">
        <v>447</v>
      </c>
      <c r="E63" s="17" t="s">
        <v>351</v>
      </c>
      <c r="F63" s="17" t="s">
        <v>448</v>
      </c>
      <c r="G63" s="17" t="s">
        <v>72</v>
      </c>
      <c r="H63" s="17" t="s">
        <v>73</v>
      </c>
      <c r="I63" s="17" t="s">
        <v>74</v>
      </c>
    </row>
    <row r="64" customFormat="false" ht="38" hidden="false" customHeight="true" outlineLevel="0" collapsed="false">
      <c r="A64" s="17" t="s">
        <v>449</v>
      </c>
      <c r="B64" s="17" t="s">
        <v>349</v>
      </c>
      <c r="C64" s="17" t="s">
        <v>39</v>
      </c>
      <c r="D64" s="17" t="s">
        <v>450</v>
      </c>
      <c r="E64" s="17" t="s">
        <v>351</v>
      </c>
      <c r="F64" s="17" t="s">
        <v>358</v>
      </c>
      <c r="G64" s="17" t="s">
        <v>72</v>
      </c>
      <c r="H64" s="17" t="s">
        <v>73</v>
      </c>
      <c r="I64" s="17" t="s">
        <v>74</v>
      </c>
    </row>
    <row r="65" customFormat="false" ht="38" hidden="false" customHeight="true" outlineLevel="0" collapsed="false">
      <c r="A65" s="17" t="s">
        <v>451</v>
      </c>
      <c r="B65" s="17" t="s">
        <v>349</v>
      </c>
      <c r="C65" s="17" t="s">
        <v>39</v>
      </c>
      <c r="D65" s="17" t="s">
        <v>452</v>
      </c>
      <c r="E65" s="17" t="s">
        <v>351</v>
      </c>
      <c r="F65" s="17" t="s">
        <v>453</v>
      </c>
      <c r="G65" s="17" t="s">
        <v>72</v>
      </c>
      <c r="H65" s="17" t="s">
        <v>73</v>
      </c>
      <c r="I65" s="17" t="s">
        <v>74</v>
      </c>
    </row>
    <row r="66" customFormat="false" ht="38" hidden="false" customHeight="true" outlineLevel="0" collapsed="false">
      <c r="A66" s="17" t="s">
        <v>454</v>
      </c>
      <c r="B66" s="17" t="s">
        <v>349</v>
      </c>
      <c r="C66" s="17" t="s">
        <v>39</v>
      </c>
      <c r="D66" s="17" t="s">
        <v>455</v>
      </c>
      <c r="E66" s="17" t="s">
        <v>351</v>
      </c>
      <c r="F66" s="17" t="s">
        <v>456</v>
      </c>
      <c r="G66" s="17" t="s">
        <v>72</v>
      </c>
      <c r="H66" s="17" t="s">
        <v>73</v>
      </c>
      <c r="I66" s="17" t="s">
        <v>74</v>
      </c>
    </row>
    <row r="67" customFormat="false" ht="38" hidden="false" customHeight="true" outlineLevel="0" collapsed="false">
      <c r="A67" s="17" t="s">
        <v>457</v>
      </c>
      <c r="B67" s="17" t="s">
        <v>349</v>
      </c>
      <c r="C67" s="17" t="s">
        <v>39</v>
      </c>
      <c r="D67" s="17" t="s">
        <v>458</v>
      </c>
      <c r="E67" s="17" t="s">
        <v>351</v>
      </c>
      <c r="F67" s="17" t="s">
        <v>370</v>
      </c>
      <c r="G67" s="17" t="s">
        <v>72</v>
      </c>
      <c r="H67" s="17" t="s">
        <v>73</v>
      </c>
      <c r="I67" s="17" t="s">
        <v>74</v>
      </c>
    </row>
    <row r="68" customFormat="false" ht="38" hidden="false" customHeight="true" outlineLevel="0" collapsed="false">
      <c r="A68" s="17" t="s">
        <v>459</v>
      </c>
      <c r="B68" s="17" t="s">
        <v>349</v>
      </c>
      <c r="C68" s="17" t="s">
        <v>39</v>
      </c>
      <c r="D68" s="17" t="s">
        <v>460</v>
      </c>
      <c r="E68" s="17" t="s">
        <v>351</v>
      </c>
      <c r="F68" s="17" t="s">
        <v>461</v>
      </c>
      <c r="G68" s="17" t="s">
        <v>72</v>
      </c>
      <c r="H68" s="17" t="s">
        <v>73</v>
      </c>
      <c r="I68" s="17" t="s">
        <v>74</v>
      </c>
    </row>
    <row r="69" customFormat="false" ht="38" hidden="false" customHeight="true" outlineLevel="0" collapsed="false">
      <c r="A69" s="17" t="s">
        <v>462</v>
      </c>
      <c r="B69" s="17" t="s">
        <v>349</v>
      </c>
      <c r="C69" s="17" t="s">
        <v>39</v>
      </c>
      <c r="D69" s="17" t="s">
        <v>463</v>
      </c>
      <c r="E69" s="17" t="s">
        <v>351</v>
      </c>
      <c r="F69" s="17" t="s">
        <v>464</v>
      </c>
      <c r="G69" s="17" t="s">
        <v>72</v>
      </c>
      <c r="H69" s="17" t="s">
        <v>73</v>
      </c>
      <c r="I69" s="17" t="s">
        <v>74</v>
      </c>
    </row>
    <row r="70" customFormat="false" ht="38" hidden="false" customHeight="true" outlineLevel="0" collapsed="false">
      <c r="A70" s="17" t="s">
        <v>465</v>
      </c>
      <c r="B70" s="17" t="s">
        <v>349</v>
      </c>
      <c r="C70" s="17" t="s">
        <v>39</v>
      </c>
      <c r="D70" s="17" t="s">
        <v>466</v>
      </c>
      <c r="E70" s="17" t="s">
        <v>351</v>
      </c>
      <c r="F70" s="17" t="s">
        <v>316</v>
      </c>
      <c r="G70" s="17" t="s">
        <v>72</v>
      </c>
      <c r="H70" s="17" t="s">
        <v>73</v>
      </c>
      <c r="I70" s="17" t="s">
        <v>74</v>
      </c>
    </row>
    <row r="71" customFormat="false" ht="38" hidden="false" customHeight="true" outlineLevel="0" collapsed="false">
      <c r="A71" s="17" t="s">
        <v>467</v>
      </c>
      <c r="B71" s="17" t="s">
        <v>349</v>
      </c>
      <c r="C71" s="17" t="s">
        <v>39</v>
      </c>
      <c r="D71" s="17" t="s">
        <v>468</v>
      </c>
      <c r="E71" s="17" t="s">
        <v>351</v>
      </c>
      <c r="F71" s="17" t="s">
        <v>381</v>
      </c>
      <c r="G71" s="17" t="s">
        <v>72</v>
      </c>
      <c r="H71" s="17" t="s">
        <v>73</v>
      </c>
      <c r="I71" s="17" t="s">
        <v>74</v>
      </c>
    </row>
    <row r="72" customFormat="false" ht="38" hidden="false" customHeight="true" outlineLevel="0" collapsed="false">
      <c r="A72" s="17" t="s">
        <v>469</v>
      </c>
      <c r="B72" s="17" t="s">
        <v>349</v>
      </c>
      <c r="C72" s="17" t="s">
        <v>39</v>
      </c>
      <c r="D72" s="17" t="s">
        <v>470</v>
      </c>
      <c r="E72" s="17" t="s">
        <v>351</v>
      </c>
      <c r="F72" s="17" t="s">
        <v>387</v>
      </c>
      <c r="G72" s="17" t="s">
        <v>72</v>
      </c>
      <c r="H72" s="17" t="s">
        <v>73</v>
      </c>
      <c r="I72" s="17" t="s">
        <v>74</v>
      </c>
    </row>
    <row r="73" customFormat="false" ht="38" hidden="false" customHeight="true" outlineLevel="0" collapsed="false">
      <c r="A73" s="17" t="s">
        <v>471</v>
      </c>
      <c r="B73" s="17" t="s">
        <v>349</v>
      </c>
      <c r="C73" s="17" t="s">
        <v>39</v>
      </c>
      <c r="D73" s="17" t="s">
        <v>472</v>
      </c>
      <c r="E73" s="17" t="s">
        <v>351</v>
      </c>
      <c r="F73" s="17" t="s">
        <v>321</v>
      </c>
      <c r="G73" s="17" t="s">
        <v>72</v>
      </c>
      <c r="H73" s="17" t="s">
        <v>73</v>
      </c>
      <c r="I73" s="17" t="s">
        <v>74</v>
      </c>
    </row>
    <row r="74" customFormat="false" ht="38" hidden="false" customHeight="true" outlineLevel="0" collapsed="false">
      <c r="A74" s="17" t="s">
        <v>473</v>
      </c>
      <c r="B74" s="17" t="s">
        <v>349</v>
      </c>
      <c r="C74" s="17" t="s">
        <v>39</v>
      </c>
      <c r="D74" s="17" t="s">
        <v>474</v>
      </c>
      <c r="E74" s="17" t="s">
        <v>351</v>
      </c>
      <c r="F74" s="17" t="s">
        <v>392</v>
      </c>
      <c r="G74" s="17" t="s">
        <v>72</v>
      </c>
      <c r="H74" s="17" t="s">
        <v>73</v>
      </c>
      <c r="I74" s="17" t="s">
        <v>74</v>
      </c>
    </row>
    <row r="75" customFormat="false" ht="38" hidden="false" customHeight="true" outlineLevel="0" collapsed="false">
      <c r="A75" s="17" t="s">
        <v>475</v>
      </c>
      <c r="B75" s="17" t="s">
        <v>349</v>
      </c>
      <c r="C75" s="17" t="s">
        <v>39</v>
      </c>
      <c r="D75" s="17" t="s">
        <v>476</v>
      </c>
      <c r="E75" s="17" t="s">
        <v>351</v>
      </c>
      <c r="F75" s="17" t="s">
        <v>395</v>
      </c>
      <c r="G75" s="17" t="s">
        <v>72</v>
      </c>
      <c r="H75" s="17" t="s">
        <v>73</v>
      </c>
      <c r="I75" s="17" t="s">
        <v>74</v>
      </c>
    </row>
    <row r="76" customFormat="false" ht="38" hidden="false" customHeight="true" outlineLevel="0" collapsed="false">
      <c r="A76" s="17" t="s">
        <v>477</v>
      </c>
      <c r="B76" s="17" t="s">
        <v>349</v>
      </c>
      <c r="C76" s="17" t="s">
        <v>39</v>
      </c>
      <c r="D76" s="17" t="s">
        <v>478</v>
      </c>
      <c r="E76" s="17" t="s">
        <v>351</v>
      </c>
      <c r="F76" s="17" t="s">
        <v>398</v>
      </c>
      <c r="G76" s="17" t="s">
        <v>72</v>
      </c>
      <c r="H76" s="17" t="s">
        <v>73</v>
      </c>
      <c r="I76" s="17" t="s">
        <v>74</v>
      </c>
    </row>
    <row r="77" customFormat="false" ht="38" hidden="false" customHeight="true" outlineLevel="0" collapsed="false">
      <c r="A77" s="17" t="s">
        <v>479</v>
      </c>
      <c r="B77" s="17" t="s">
        <v>349</v>
      </c>
      <c r="C77" s="17" t="s">
        <v>39</v>
      </c>
      <c r="D77" s="17" t="s">
        <v>480</v>
      </c>
      <c r="E77" s="17" t="s">
        <v>351</v>
      </c>
      <c r="F77" s="17" t="s">
        <v>325</v>
      </c>
      <c r="G77" s="17" t="s">
        <v>72</v>
      </c>
      <c r="H77" s="17" t="s">
        <v>73</v>
      </c>
      <c r="I77" s="17" t="s">
        <v>74</v>
      </c>
    </row>
    <row r="78" customFormat="false" ht="38" hidden="false" customHeight="true" outlineLevel="0" collapsed="false">
      <c r="A78" s="17" t="s">
        <v>481</v>
      </c>
      <c r="B78" s="17" t="s">
        <v>264</v>
      </c>
      <c r="C78" s="17" t="s">
        <v>40</v>
      </c>
      <c r="D78" s="17" t="s">
        <v>482</v>
      </c>
      <c r="E78" s="17" t="s">
        <v>330</v>
      </c>
      <c r="F78" s="17" t="s">
        <v>330</v>
      </c>
      <c r="G78" s="17" t="s">
        <v>72</v>
      </c>
      <c r="H78" s="17" t="s">
        <v>73</v>
      </c>
      <c r="I78" s="17" t="s">
        <v>74</v>
      </c>
    </row>
    <row r="79" customFormat="false" ht="38" hidden="false" customHeight="true" outlineLevel="0" collapsed="false">
      <c r="A79" s="17" t="s">
        <v>483</v>
      </c>
      <c r="B79" s="17" t="s">
        <v>267</v>
      </c>
      <c r="C79" s="17" t="s">
        <v>40</v>
      </c>
      <c r="D79" s="17" t="s">
        <v>484</v>
      </c>
      <c r="E79" s="17" t="s">
        <v>269</v>
      </c>
      <c r="F79" s="17" t="s">
        <v>269</v>
      </c>
      <c r="G79" s="17" t="s">
        <v>72</v>
      </c>
      <c r="H79" s="17" t="s">
        <v>105</v>
      </c>
      <c r="I79" s="17" t="s">
        <v>74</v>
      </c>
    </row>
    <row r="80" customFormat="false" ht="38" hidden="false" customHeight="true" outlineLevel="0" collapsed="false">
      <c r="A80" s="17" t="s">
        <v>485</v>
      </c>
      <c r="B80" s="17" t="s">
        <v>272</v>
      </c>
      <c r="C80" s="17" t="s">
        <v>40</v>
      </c>
      <c r="D80" s="17" t="s">
        <v>486</v>
      </c>
      <c r="E80" s="17" t="s">
        <v>274</v>
      </c>
      <c r="F80" s="17" t="s">
        <v>274</v>
      </c>
      <c r="G80" s="17" t="s">
        <v>72</v>
      </c>
      <c r="H80" s="17" t="s">
        <v>105</v>
      </c>
      <c r="I80" s="17" t="s">
        <v>74</v>
      </c>
    </row>
    <row r="81" customFormat="false" ht="38" hidden="false" customHeight="true" outlineLevel="0" collapsed="false">
      <c r="A81" s="17" t="s">
        <v>487</v>
      </c>
      <c r="B81" s="17" t="s">
        <v>276</v>
      </c>
      <c r="C81" s="17" t="s">
        <v>40</v>
      </c>
      <c r="D81" s="17" t="s">
        <v>488</v>
      </c>
      <c r="E81" s="17" t="s">
        <v>278</v>
      </c>
      <c r="F81" s="17" t="s">
        <v>278</v>
      </c>
      <c r="G81" s="17" t="s">
        <v>72</v>
      </c>
      <c r="H81" s="17" t="s">
        <v>73</v>
      </c>
      <c r="I81" s="17" t="s">
        <v>74</v>
      </c>
    </row>
    <row r="82" customFormat="false" ht="38" hidden="false" customHeight="true" outlineLevel="0" collapsed="false">
      <c r="A82" s="17" t="s">
        <v>489</v>
      </c>
      <c r="B82" s="17" t="s">
        <v>281</v>
      </c>
      <c r="C82" s="17" t="s">
        <v>40</v>
      </c>
      <c r="D82" s="17" t="s">
        <v>490</v>
      </c>
      <c r="E82" s="17" t="s">
        <v>175</v>
      </c>
      <c r="F82" s="17" t="s">
        <v>175</v>
      </c>
      <c r="G82" s="17" t="s">
        <v>72</v>
      </c>
      <c r="H82" s="17" t="s">
        <v>73</v>
      </c>
      <c r="I82" s="17" t="s">
        <v>74</v>
      </c>
    </row>
    <row r="83" customFormat="false" ht="38" hidden="false" customHeight="true" outlineLevel="0" collapsed="false">
      <c r="A83" s="17" t="s">
        <v>491</v>
      </c>
      <c r="B83" s="17" t="s">
        <v>284</v>
      </c>
      <c r="C83" s="17" t="s">
        <v>40</v>
      </c>
      <c r="D83" s="17" t="s">
        <v>492</v>
      </c>
      <c r="E83" s="17" t="s">
        <v>286</v>
      </c>
      <c r="F83" s="17" t="s">
        <v>286</v>
      </c>
      <c r="G83" s="17" t="s">
        <v>72</v>
      </c>
      <c r="H83" s="17" t="s">
        <v>73</v>
      </c>
      <c r="I83" s="17" t="s">
        <v>74</v>
      </c>
    </row>
    <row r="84" customFormat="false" ht="38" hidden="false" customHeight="true" outlineLevel="0" collapsed="false">
      <c r="A84" s="17" t="s">
        <v>493</v>
      </c>
      <c r="B84" s="17" t="s">
        <v>289</v>
      </c>
      <c r="C84" s="17" t="s">
        <v>40</v>
      </c>
      <c r="D84" s="17" t="s">
        <v>494</v>
      </c>
      <c r="E84" s="17" t="s">
        <v>104</v>
      </c>
      <c r="F84" s="17" t="s">
        <v>104</v>
      </c>
      <c r="G84" s="17" t="s">
        <v>72</v>
      </c>
      <c r="H84" s="17" t="s">
        <v>73</v>
      </c>
      <c r="I84" s="17" t="s">
        <v>74</v>
      </c>
    </row>
    <row r="85" customFormat="false" ht="38" hidden="false" customHeight="true" outlineLevel="0" collapsed="false">
      <c r="A85" s="17" t="s">
        <v>495</v>
      </c>
      <c r="B85" s="17" t="s">
        <v>293</v>
      </c>
      <c r="C85" s="17" t="s">
        <v>40</v>
      </c>
      <c r="D85" s="17" t="s">
        <v>496</v>
      </c>
      <c r="E85" s="17" t="s">
        <v>104</v>
      </c>
      <c r="F85" s="17" t="s">
        <v>104</v>
      </c>
      <c r="G85" s="17" t="s">
        <v>72</v>
      </c>
      <c r="H85" s="17" t="s">
        <v>105</v>
      </c>
      <c r="I85" s="17" t="s">
        <v>74</v>
      </c>
    </row>
    <row r="86" customFormat="false" ht="38" hidden="false" customHeight="true" outlineLevel="0" collapsed="false">
      <c r="A86" s="17" t="s">
        <v>497</v>
      </c>
      <c r="B86" s="17" t="s">
        <v>297</v>
      </c>
      <c r="C86" s="17" t="s">
        <v>40</v>
      </c>
      <c r="D86" s="17" t="s">
        <v>498</v>
      </c>
      <c r="E86" s="17" t="s">
        <v>164</v>
      </c>
      <c r="F86" s="17" t="s">
        <v>164</v>
      </c>
      <c r="G86" s="17" t="s">
        <v>72</v>
      </c>
      <c r="H86" s="17" t="s">
        <v>73</v>
      </c>
      <c r="I86" s="17" t="s">
        <v>74</v>
      </c>
    </row>
    <row r="87" customFormat="false" ht="38" hidden="false" customHeight="true" outlineLevel="0" collapsed="false">
      <c r="A87" s="17" t="s">
        <v>499</v>
      </c>
      <c r="B87" s="17" t="s">
        <v>301</v>
      </c>
      <c r="C87" s="17" t="s">
        <v>40</v>
      </c>
      <c r="D87" s="17" t="s">
        <v>500</v>
      </c>
      <c r="E87" s="17" t="s">
        <v>278</v>
      </c>
      <c r="F87" s="17" t="s">
        <v>278</v>
      </c>
      <c r="G87" s="17" t="s">
        <v>72</v>
      </c>
      <c r="H87" s="17" t="s">
        <v>105</v>
      </c>
      <c r="I87" s="17" t="s">
        <v>74</v>
      </c>
    </row>
    <row r="88" customFormat="false" ht="38" hidden="false" customHeight="true" outlineLevel="0" collapsed="false">
      <c r="A88" s="17" t="s">
        <v>501</v>
      </c>
      <c r="B88" s="17" t="s">
        <v>305</v>
      </c>
      <c r="C88" s="17" t="s">
        <v>40</v>
      </c>
      <c r="D88" s="17" t="s">
        <v>502</v>
      </c>
      <c r="E88" s="17" t="s">
        <v>286</v>
      </c>
      <c r="F88" s="17" t="s">
        <v>286</v>
      </c>
      <c r="G88" s="17" t="s">
        <v>72</v>
      </c>
      <c r="H88" s="17" t="s">
        <v>73</v>
      </c>
      <c r="I88" s="17" t="s">
        <v>74</v>
      </c>
    </row>
    <row r="89" customFormat="false" ht="38" hidden="false" customHeight="true" outlineLevel="0" collapsed="false">
      <c r="A89" s="17" t="s">
        <v>504</v>
      </c>
      <c r="B89" s="17" t="s">
        <v>309</v>
      </c>
      <c r="C89" s="17" t="s">
        <v>40</v>
      </c>
      <c r="D89" s="17" t="s">
        <v>505</v>
      </c>
      <c r="E89" s="17" t="s">
        <v>311</v>
      </c>
      <c r="F89" s="17" t="s">
        <v>311</v>
      </c>
      <c r="G89" s="17" t="s">
        <v>72</v>
      </c>
      <c r="H89" s="17" t="s">
        <v>105</v>
      </c>
      <c r="I89" s="17" t="s">
        <v>74</v>
      </c>
    </row>
    <row r="90" customFormat="false" ht="38" hidden="false" customHeight="true" outlineLevel="0" collapsed="false">
      <c r="A90" s="17" t="s">
        <v>506</v>
      </c>
      <c r="B90" s="17" t="s">
        <v>314</v>
      </c>
      <c r="C90" s="17" t="s">
        <v>41</v>
      </c>
      <c r="D90" s="17" t="s">
        <v>507</v>
      </c>
      <c r="E90" s="17" t="s">
        <v>316</v>
      </c>
      <c r="F90" s="17" t="s">
        <v>316</v>
      </c>
      <c r="G90" s="17" t="s">
        <v>72</v>
      </c>
      <c r="H90" s="17" t="s">
        <v>73</v>
      </c>
      <c r="I90" s="17" t="s">
        <v>74</v>
      </c>
    </row>
    <row r="91" customFormat="false" ht="38" hidden="false" customHeight="true" outlineLevel="0" collapsed="false">
      <c r="A91" s="17" t="s">
        <v>509</v>
      </c>
      <c r="B91" s="17" t="s">
        <v>319</v>
      </c>
      <c r="C91" s="17" t="s">
        <v>41</v>
      </c>
      <c r="D91" s="17" t="s">
        <v>510</v>
      </c>
      <c r="E91" s="17" t="s">
        <v>321</v>
      </c>
      <c r="F91" s="17" t="s">
        <v>321</v>
      </c>
      <c r="G91" s="17" t="s">
        <v>72</v>
      </c>
      <c r="H91" s="17" t="s">
        <v>105</v>
      </c>
      <c r="I91" s="17" t="s">
        <v>74</v>
      </c>
    </row>
    <row r="92" customFormat="false" ht="38" hidden="false" customHeight="true" outlineLevel="0" collapsed="false">
      <c r="A92" s="17" t="s">
        <v>511</v>
      </c>
      <c r="B92" s="17" t="s">
        <v>323</v>
      </c>
      <c r="C92" s="17" t="s">
        <v>41</v>
      </c>
      <c r="D92" s="17" t="s">
        <v>512</v>
      </c>
      <c r="E92" s="17" t="s">
        <v>513</v>
      </c>
      <c r="F92" s="17" t="s">
        <v>513</v>
      </c>
      <c r="G92" s="17" t="s">
        <v>72</v>
      </c>
      <c r="H92" s="17" t="s">
        <v>105</v>
      </c>
      <c r="I92" s="17" t="s">
        <v>74</v>
      </c>
    </row>
    <row r="93" customFormat="false" ht="38" hidden="false" customHeight="true" outlineLevel="0" collapsed="false">
      <c r="A93" s="17" t="s">
        <v>514</v>
      </c>
      <c r="B93" s="17" t="s">
        <v>327</v>
      </c>
      <c r="C93" s="17" t="s">
        <v>41</v>
      </c>
      <c r="D93" s="17" t="s">
        <v>515</v>
      </c>
      <c r="E93" s="17" t="s">
        <v>436</v>
      </c>
      <c r="F93" s="17" t="s">
        <v>286</v>
      </c>
      <c r="G93" s="17" t="s">
        <v>72</v>
      </c>
      <c r="H93" s="17" t="s">
        <v>105</v>
      </c>
      <c r="I93" s="17" t="s">
        <v>74</v>
      </c>
    </row>
    <row r="94" customFormat="false" ht="38" hidden="false" customHeight="true" outlineLevel="0" collapsed="false">
      <c r="A94" s="17" t="s">
        <v>517</v>
      </c>
      <c r="B94" s="17" t="s">
        <v>333</v>
      </c>
      <c r="C94" s="17" t="s">
        <v>41</v>
      </c>
      <c r="D94" s="17" t="s">
        <v>518</v>
      </c>
      <c r="E94" s="17" t="s">
        <v>335</v>
      </c>
      <c r="F94" s="17" t="s">
        <v>336</v>
      </c>
      <c r="G94" s="17" t="s">
        <v>72</v>
      </c>
      <c r="H94" s="17" t="s">
        <v>105</v>
      </c>
      <c r="I94" s="17" t="s">
        <v>74</v>
      </c>
    </row>
    <row r="95" customFormat="false" ht="38" hidden="false" customHeight="true" outlineLevel="0" collapsed="false">
      <c r="A95" s="17" t="s">
        <v>519</v>
      </c>
      <c r="B95" s="17" t="s">
        <v>339</v>
      </c>
      <c r="C95" s="17" t="s">
        <v>41</v>
      </c>
      <c r="D95" s="17" t="s">
        <v>520</v>
      </c>
      <c r="E95" s="17" t="s">
        <v>341</v>
      </c>
      <c r="F95" s="17" t="s">
        <v>508</v>
      </c>
      <c r="G95" s="17" t="s">
        <v>72</v>
      </c>
      <c r="H95" s="17" t="s">
        <v>105</v>
      </c>
      <c r="I95" s="17" t="s">
        <v>74</v>
      </c>
    </row>
    <row r="96" customFormat="false" ht="38" hidden="false" customHeight="true" outlineLevel="0" collapsed="false">
      <c r="A96" s="17" t="s">
        <v>521</v>
      </c>
      <c r="B96" s="17" t="s">
        <v>344</v>
      </c>
      <c r="C96" s="17" t="s">
        <v>41</v>
      </c>
      <c r="D96" s="17" t="s">
        <v>522</v>
      </c>
      <c r="E96" s="17" t="s">
        <v>346</v>
      </c>
      <c r="F96" s="17" t="s">
        <v>164</v>
      </c>
      <c r="G96" s="17" t="s">
        <v>72</v>
      </c>
      <c r="H96" s="17" t="s">
        <v>105</v>
      </c>
      <c r="I96" s="17" t="s">
        <v>74</v>
      </c>
    </row>
    <row r="97" customFormat="false" ht="38" hidden="false" customHeight="true" outlineLevel="0" collapsed="false">
      <c r="A97" s="17" t="s">
        <v>523</v>
      </c>
      <c r="B97" s="17" t="s">
        <v>349</v>
      </c>
      <c r="C97" s="17" t="s">
        <v>39</v>
      </c>
      <c r="D97" s="17" t="s">
        <v>524</v>
      </c>
      <c r="E97" s="17" t="s">
        <v>351</v>
      </c>
      <c r="F97" s="17" t="s">
        <v>352</v>
      </c>
      <c r="G97" s="17" t="s">
        <v>72</v>
      </c>
      <c r="H97" s="17" t="s">
        <v>73</v>
      </c>
      <c r="I97" s="17" t="s">
        <v>74</v>
      </c>
    </row>
    <row r="98" customFormat="false" ht="38" hidden="false" customHeight="true" outlineLevel="0" collapsed="false">
      <c r="A98" s="17" t="s">
        <v>525</v>
      </c>
      <c r="B98" s="17" t="s">
        <v>349</v>
      </c>
      <c r="C98" s="17" t="s">
        <v>39</v>
      </c>
      <c r="D98" s="17" t="s">
        <v>526</v>
      </c>
      <c r="E98" s="17" t="s">
        <v>351</v>
      </c>
      <c r="F98" s="17" t="s">
        <v>358</v>
      </c>
      <c r="G98" s="17" t="s">
        <v>72</v>
      </c>
      <c r="H98" s="17" t="s">
        <v>73</v>
      </c>
      <c r="I98" s="17" t="s">
        <v>74</v>
      </c>
    </row>
    <row r="99" customFormat="false" ht="38" hidden="false" customHeight="true" outlineLevel="0" collapsed="false">
      <c r="A99" s="17" t="s">
        <v>527</v>
      </c>
      <c r="B99" s="17" t="s">
        <v>349</v>
      </c>
      <c r="C99" s="17" t="s">
        <v>39</v>
      </c>
      <c r="D99" s="17" t="s">
        <v>528</v>
      </c>
      <c r="E99" s="17" t="s">
        <v>351</v>
      </c>
      <c r="F99" s="17" t="s">
        <v>529</v>
      </c>
      <c r="G99" s="17" t="s">
        <v>72</v>
      </c>
      <c r="H99" s="17" t="s">
        <v>73</v>
      </c>
      <c r="I99" s="17" t="s">
        <v>74</v>
      </c>
    </row>
    <row r="100" customFormat="false" ht="38" hidden="false" customHeight="true" outlineLevel="0" collapsed="false">
      <c r="A100" s="17" t="s">
        <v>530</v>
      </c>
      <c r="B100" s="17" t="s">
        <v>349</v>
      </c>
      <c r="C100" s="17" t="s">
        <v>39</v>
      </c>
      <c r="D100" s="17" t="s">
        <v>531</v>
      </c>
      <c r="E100" s="17" t="s">
        <v>351</v>
      </c>
      <c r="F100" s="17" t="s">
        <v>532</v>
      </c>
      <c r="G100" s="17" t="s">
        <v>72</v>
      </c>
      <c r="H100" s="17" t="s">
        <v>73</v>
      </c>
      <c r="I100" s="17" t="s">
        <v>74</v>
      </c>
    </row>
    <row r="101" customFormat="false" ht="38" hidden="false" customHeight="true" outlineLevel="0" collapsed="false">
      <c r="A101" s="17" t="s">
        <v>533</v>
      </c>
      <c r="B101" s="17" t="s">
        <v>349</v>
      </c>
      <c r="C101" s="17" t="s">
        <v>39</v>
      </c>
      <c r="D101" s="17" t="s">
        <v>534</v>
      </c>
      <c r="E101" s="17" t="s">
        <v>351</v>
      </c>
      <c r="F101" s="17" t="s">
        <v>535</v>
      </c>
      <c r="G101" s="17" t="s">
        <v>72</v>
      </c>
      <c r="H101" s="17" t="s">
        <v>73</v>
      </c>
      <c r="I101" s="17" t="s">
        <v>74</v>
      </c>
    </row>
    <row r="102" customFormat="false" ht="38" hidden="false" customHeight="true" outlineLevel="0" collapsed="false">
      <c r="A102" s="17" t="s">
        <v>536</v>
      </c>
      <c r="B102" s="17" t="s">
        <v>349</v>
      </c>
      <c r="C102" s="17" t="s">
        <v>39</v>
      </c>
      <c r="D102" s="17" t="s">
        <v>537</v>
      </c>
      <c r="E102" s="17" t="s">
        <v>351</v>
      </c>
      <c r="F102" s="17" t="s">
        <v>370</v>
      </c>
      <c r="G102" s="17" t="s">
        <v>72</v>
      </c>
      <c r="H102" s="17" t="s">
        <v>73</v>
      </c>
      <c r="I102" s="17" t="s">
        <v>74</v>
      </c>
    </row>
    <row r="103" customFormat="false" ht="38" hidden="false" customHeight="true" outlineLevel="0" collapsed="false">
      <c r="A103" s="17" t="s">
        <v>538</v>
      </c>
      <c r="B103" s="17" t="s">
        <v>349</v>
      </c>
      <c r="C103" s="17" t="s">
        <v>39</v>
      </c>
      <c r="D103" s="17" t="s">
        <v>539</v>
      </c>
      <c r="E103" s="17" t="s">
        <v>351</v>
      </c>
      <c r="F103" s="17" t="s">
        <v>540</v>
      </c>
      <c r="G103" s="17" t="s">
        <v>72</v>
      </c>
      <c r="H103" s="17" t="s">
        <v>73</v>
      </c>
      <c r="I103" s="17" t="s">
        <v>74</v>
      </c>
    </row>
    <row r="104" customFormat="false" ht="38" hidden="false" customHeight="true" outlineLevel="0" collapsed="false">
      <c r="A104" s="17" t="s">
        <v>541</v>
      </c>
      <c r="B104" s="17" t="s">
        <v>349</v>
      </c>
      <c r="C104" s="17" t="s">
        <v>39</v>
      </c>
      <c r="D104" s="17" t="s">
        <v>542</v>
      </c>
      <c r="E104" s="17" t="s">
        <v>351</v>
      </c>
      <c r="F104" s="17" t="s">
        <v>543</v>
      </c>
      <c r="G104" s="17" t="s">
        <v>72</v>
      </c>
      <c r="H104" s="17" t="s">
        <v>73</v>
      </c>
      <c r="I104" s="17" t="s">
        <v>74</v>
      </c>
    </row>
    <row r="105" customFormat="false" ht="38" hidden="false" customHeight="true" outlineLevel="0" collapsed="false">
      <c r="A105" s="17" t="s">
        <v>544</v>
      </c>
      <c r="B105" s="17" t="s">
        <v>349</v>
      </c>
      <c r="C105" s="17" t="s">
        <v>39</v>
      </c>
      <c r="D105" s="17" t="s">
        <v>545</v>
      </c>
      <c r="E105" s="17" t="s">
        <v>351</v>
      </c>
      <c r="F105" s="17" t="s">
        <v>546</v>
      </c>
      <c r="G105" s="17" t="s">
        <v>72</v>
      </c>
      <c r="H105" s="17" t="s">
        <v>73</v>
      </c>
      <c r="I105" s="17" t="s">
        <v>74</v>
      </c>
    </row>
    <row r="106" customFormat="false" ht="38" hidden="false" customHeight="true" outlineLevel="0" collapsed="false">
      <c r="A106" s="17" t="s">
        <v>547</v>
      </c>
      <c r="B106" s="17" t="s">
        <v>349</v>
      </c>
      <c r="C106" s="17" t="s">
        <v>39</v>
      </c>
      <c r="D106" s="17" t="s">
        <v>548</v>
      </c>
      <c r="E106" s="17" t="s">
        <v>351</v>
      </c>
      <c r="F106" s="17" t="s">
        <v>549</v>
      </c>
      <c r="G106" s="17" t="s">
        <v>72</v>
      </c>
      <c r="H106" s="17" t="s">
        <v>73</v>
      </c>
      <c r="I106" s="17" t="s">
        <v>74</v>
      </c>
    </row>
    <row r="107" customFormat="false" ht="38" hidden="false" customHeight="true" outlineLevel="0" collapsed="false">
      <c r="A107" s="17" t="s">
        <v>550</v>
      </c>
      <c r="B107" s="17" t="s">
        <v>349</v>
      </c>
      <c r="C107" s="17" t="s">
        <v>39</v>
      </c>
      <c r="D107" s="17" t="s">
        <v>551</v>
      </c>
      <c r="E107" s="17" t="s">
        <v>351</v>
      </c>
      <c r="F107" s="17" t="s">
        <v>316</v>
      </c>
      <c r="G107" s="17" t="s">
        <v>72</v>
      </c>
      <c r="H107" s="17" t="s">
        <v>73</v>
      </c>
      <c r="I107" s="17" t="s">
        <v>74</v>
      </c>
    </row>
    <row r="108" customFormat="false" ht="38" hidden="false" customHeight="true" outlineLevel="0" collapsed="false">
      <c r="A108" s="17" t="s">
        <v>552</v>
      </c>
      <c r="B108" s="17" t="s">
        <v>349</v>
      </c>
      <c r="C108" s="17" t="s">
        <v>39</v>
      </c>
      <c r="D108" s="17" t="s">
        <v>553</v>
      </c>
      <c r="E108" s="17" t="s">
        <v>351</v>
      </c>
      <c r="F108" s="17" t="s">
        <v>554</v>
      </c>
      <c r="G108" s="17" t="s">
        <v>72</v>
      </c>
      <c r="H108" s="17" t="s">
        <v>73</v>
      </c>
      <c r="I108" s="17" t="s">
        <v>74</v>
      </c>
    </row>
    <row r="109" customFormat="false" ht="38" hidden="false" customHeight="true" outlineLevel="0" collapsed="false">
      <c r="A109" s="17" t="s">
        <v>555</v>
      </c>
      <c r="B109" s="17" t="s">
        <v>349</v>
      </c>
      <c r="C109" s="17" t="s">
        <v>39</v>
      </c>
      <c r="D109" s="17" t="s">
        <v>556</v>
      </c>
      <c r="E109" s="17" t="s">
        <v>351</v>
      </c>
      <c r="F109" s="17" t="s">
        <v>381</v>
      </c>
      <c r="G109" s="17" t="s">
        <v>72</v>
      </c>
      <c r="H109" s="17" t="s">
        <v>73</v>
      </c>
      <c r="I109" s="17" t="s">
        <v>74</v>
      </c>
    </row>
    <row r="110" customFormat="false" ht="38" hidden="false" customHeight="true" outlineLevel="0" collapsed="false">
      <c r="A110" s="17" t="s">
        <v>557</v>
      </c>
      <c r="B110" s="17" t="s">
        <v>349</v>
      </c>
      <c r="C110" s="17" t="s">
        <v>39</v>
      </c>
      <c r="D110" s="17" t="s">
        <v>558</v>
      </c>
      <c r="E110" s="17" t="s">
        <v>351</v>
      </c>
      <c r="F110" s="17" t="s">
        <v>387</v>
      </c>
      <c r="G110" s="17" t="s">
        <v>72</v>
      </c>
      <c r="H110" s="17" t="s">
        <v>73</v>
      </c>
      <c r="I110" s="17" t="s">
        <v>74</v>
      </c>
    </row>
    <row r="111" customFormat="false" ht="38" hidden="false" customHeight="true" outlineLevel="0" collapsed="false">
      <c r="A111" s="17" t="s">
        <v>559</v>
      </c>
      <c r="B111" s="17" t="s">
        <v>349</v>
      </c>
      <c r="C111" s="17" t="s">
        <v>39</v>
      </c>
      <c r="D111" s="17" t="s">
        <v>560</v>
      </c>
      <c r="E111" s="17" t="s">
        <v>351</v>
      </c>
      <c r="F111" s="17" t="s">
        <v>513</v>
      </c>
      <c r="G111" s="17" t="s">
        <v>72</v>
      </c>
      <c r="H111" s="17" t="s">
        <v>73</v>
      </c>
      <c r="I111" s="17" t="s">
        <v>74</v>
      </c>
    </row>
    <row r="112" customFormat="false" ht="38" hidden="false" customHeight="true" outlineLevel="0" collapsed="false">
      <c r="A112" s="17" t="s">
        <v>561</v>
      </c>
      <c r="B112" s="17" t="s">
        <v>349</v>
      </c>
      <c r="C112" s="17" t="s">
        <v>39</v>
      </c>
      <c r="D112" s="17" t="s">
        <v>562</v>
      </c>
      <c r="E112" s="17" t="s">
        <v>351</v>
      </c>
      <c r="F112" s="17" t="s">
        <v>563</v>
      </c>
      <c r="G112" s="17" t="s">
        <v>72</v>
      </c>
      <c r="H112" s="17" t="s">
        <v>73</v>
      </c>
      <c r="I112" s="17" t="s">
        <v>74</v>
      </c>
    </row>
    <row r="113" customFormat="false" ht="38" hidden="false" customHeight="true" outlineLevel="0" collapsed="false">
      <c r="A113" s="17" t="s">
        <v>564</v>
      </c>
      <c r="B113" s="17" t="s">
        <v>349</v>
      </c>
      <c r="C113" s="17" t="s">
        <v>39</v>
      </c>
      <c r="D113" s="17" t="s">
        <v>565</v>
      </c>
      <c r="E113" s="17" t="s">
        <v>351</v>
      </c>
      <c r="F113" s="17" t="s">
        <v>566</v>
      </c>
      <c r="G113" s="17" t="s">
        <v>72</v>
      </c>
      <c r="H113" s="17" t="s">
        <v>73</v>
      </c>
      <c r="I113" s="17" t="s">
        <v>74</v>
      </c>
    </row>
    <row r="114" customFormat="false" ht="38" hidden="false" customHeight="true" outlineLevel="0" collapsed="false">
      <c r="A114" s="17" t="s">
        <v>567</v>
      </c>
      <c r="B114" s="17" t="s">
        <v>349</v>
      </c>
      <c r="C114" s="17" t="s">
        <v>39</v>
      </c>
      <c r="D114" s="17" t="s">
        <v>568</v>
      </c>
      <c r="E114" s="17" t="s">
        <v>351</v>
      </c>
      <c r="F114" s="17" t="s">
        <v>569</v>
      </c>
      <c r="G114" s="17" t="s">
        <v>72</v>
      </c>
      <c r="H114" s="17" t="s">
        <v>73</v>
      </c>
      <c r="I114" s="17" t="s">
        <v>74</v>
      </c>
    </row>
    <row r="115" customFormat="false" ht="38" hidden="false" customHeight="true" outlineLevel="0" collapsed="false">
      <c r="A115" s="17" t="s">
        <v>570</v>
      </c>
      <c r="B115" s="17" t="s">
        <v>349</v>
      </c>
      <c r="C115" s="17" t="s">
        <v>39</v>
      </c>
      <c r="D115" s="17" t="s">
        <v>571</v>
      </c>
      <c r="E115" s="17" t="s">
        <v>351</v>
      </c>
      <c r="F115" s="17" t="s">
        <v>321</v>
      </c>
      <c r="G115" s="17" t="s">
        <v>72</v>
      </c>
      <c r="H115" s="17" t="s">
        <v>73</v>
      </c>
      <c r="I115" s="17" t="s">
        <v>74</v>
      </c>
    </row>
    <row r="116" customFormat="false" ht="38" hidden="false" customHeight="true" outlineLevel="0" collapsed="false">
      <c r="A116" s="17" t="s">
        <v>572</v>
      </c>
      <c r="B116" s="17" t="s">
        <v>349</v>
      </c>
      <c r="C116" s="17" t="s">
        <v>39</v>
      </c>
      <c r="D116" s="17" t="s">
        <v>573</v>
      </c>
      <c r="E116" s="17" t="s">
        <v>351</v>
      </c>
      <c r="F116" s="17" t="s">
        <v>392</v>
      </c>
      <c r="G116" s="17" t="s">
        <v>72</v>
      </c>
      <c r="H116" s="17" t="s">
        <v>73</v>
      </c>
      <c r="I116" s="17" t="s">
        <v>74</v>
      </c>
    </row>
    <row r="117" customFormat="false" ht="38" hidden="false" customHeight="true" outlineLevel="0" collapsed="false">
      <c r="A117" s="17" t="s">
        <v>574</v>
      </c>
      <c r="B117" s="17" t="s">
        <v>349</v>
      </c>
      <c r="C117" s="17" t="s">
        <v>39</v>
      </c>
      <c r="D117" s="17" t="s">
        <v>575</v>
      </c>
      <c r="E117" s="17" t="s">
        <v>351</v>
      </c>
      <c r="F117" s="17" t="s">
        <v>395</v>
      </c>
      <c r="G117" s="17" t="s">
        <v>72</v>
      </c>
      <c r="H117" s="17" t="s">
        <v>73</v>
      </c>
      <c r="I117" s="17" t="s">
        <v>74</v>
      </c>
    </row>
    <row r="118" customFormat="false" ht="38" hidden="false" customHeight="true" outlineLevel="0" collapsed="false">
      <c r="A118" s="17" t="s">
        <v>576</v>
      </c>
      <c r="B118" s="17" t="s">
        <v>349</v>
      </c>
      <c r="C118" s="17" t="s">
        <v>39</v>
      </c>
      <c r="D118" s="17" t="s">
        <v>577</v>
      </c>
      <c r="E118" s="17" t="s">
        <v>351</v>
      </c>
      <c r="F118" s="17" t="s">
        <v>398</v>
      </c>
      <c r="G118" s="17" t="s">
        <v>72</v>
      </c>
      <c r="H118" s="17" t="s">
        <v>73</v>
      </c>
      <c r="I118" s="17" t="s">
        <v>74</v>
      </c>
    </row>
    <row r="119" customFormat="false" ht="38" hidden="false" customHeight="true" outlineLevel="0" collapsed="false">
      <c r="A119" s="17" t="s">
        <v>578</v>
      </c>
      <c r="B119" s="17" t="s">
        <v>349</v>
      </c>
      <c r="C119" s="17" t="s">
        <v>39</v>
      </c>
      <c r="D119" s="17" t="s">
        <v>579</v>
      </c>
      <c r="E119" s="17" t="s">
        <v>351</v>
      </c>
      <c r="F119" s="17" t="s">
        <v>325</v>
      </c>
      <c r="G119" s="17" t="s">
        <v>72</v>
      </c>
      <c r="H119" s="17" t="s">
        <v>73</v>
      </c>
      <c r="I119" s="17" t="s">
        <v>74</v>
      </c>
    </row>
    <row r="120" customFormat="false" ht="38" hidden="false" customHeight="true" outlineLevel="0" collapsed="false">
      <c r="A120" s="17" t="s">
        <v>580</v>
      </c>
      <c r="B120" s="17" t="s">
        <v>264</v>
      </c>
      <c r="C120" s="17" t="s">
        <v>40</v>
      </c>
      <c r="D120" s="17" t="s">
        <v>581</v>
      </c>
      <c r="E120" s="17" t="s">
        <v>286</v>
      </c>
      <c r="F120" s="17" t="s">
        <v>286</v>
      </c>
      <c r="G120" s="17" t="s">
        <v>72</v>
      </c>
      <c r="H120" s="17" t="s">
        <v>73</v>
      </c>
      <c r="I120" s="17" t="s">
        <v>74</v>
      </c>
    </row>
    <row r="121" customFormat="false" ht="38" hidden="false" customHeight="true" outlineLevel="0" collapsed="false">
      <c r="A121" s="17" t="s">
        <v>582</v>
      </c>
      <c r="B121" s="17" t="s">
        <v>267</v>
      </c>
      <c r="C121" s="17" t="s">
        <v>40</v>
      </c>
      <c r="D121" s="17" t="s">
        <v>583</v>
      </c>
      <c r="E121" s="17" t="s">
        <v>269</v>
      </c>
      <c r="F121" s="17" t="s">
        <v>269</v>
      </c>
      <c r="G121" s="17" t="s">
        <v>72</v>
      </c>
      <c r="H121" s="17" t="s">
        <v>105</v>
      </c>
      <c r="I121" s="17" t="s">
        <v>74</v>
      </c>
    </row>
    <row r="122" customFormat="false" ht="38" hidden="false" customHeight="true" outlineLevel="0" collapsed="false">
      <c r="A122" s="17" t="s">
        <v>584</v>
      </c>
      <c r="B122" s="17" t="s">
        <v>272</v>
      </c>
      <c r="C122" s="17" t="s">
        <v>40</v>
      </c>
      <c r="D122" s="17" t="s">
        <v>585</v>
      </c>
      <c r="E122" s="17" t="s">
        <v>274</v>
      </c>
      <c r="F122" s="17" t="s">
        <v>274</v>
      </c>
      <c r="G122" s="17" t="s">
        <v>72</v>
      </c>
      <c r="H122" s="17" t="s">
        <v>105</v>
      </c>
      <c r="I122" s="17" t="s">
        <v>74</v>
      </c>
    </row>
    <row r="123" customFormat="false" ht="38" hidden="false" customHeight="true" outlineLevel="0" collapsed="false">
      <c r="A123" s="17" t="s">
        <v>586</v>
      </c>
      <c r="B123" s="17" t="s">
        <v>276</v>
      </c>
      <c r="C123" s="17" t="s">
        <v>40</v>
      </c>
      <c r="D123" s="17" t="s">
        <v>587</v>
      </c>
      <c r="E123" s="17" t="s">
        <v>278</v>
      </c>
      <c r="F123" s="17" t="s">
        <v>278</v>
      </c>
      <c r="G123" s="17" t="s">
        <v>72</v>
      </c>
      <c r="H123" s="17" t="s">
        <v>73</v>
      </c>
      <c r="I123" s="17" t="s">
        <v>74</v>
      </c>
    </row>
    <row r="124" customFormat="false" ht="38" hidden="false" customHeight="true" outlineLevel="0" collapsed="false">
      <c r="A124" s="17" t="s">
        <v>588</v>
      </c>
      <c r="B124" s="17" t="s">
        <v>281</v>
      </c>
      <c r="C124" s="17" t="s">
        <v>40</v>
      </c>
      <c r="D124" s="17" t="s">
        <v>589</v>
      </c>
      <c r="E124" s="17" t="s">
        <v>175</v>
      </c>
      <c r="F124" s="17" t="s">
        <v>175</v>
      </c>
      <c r="G124" s="17" t="s">
        <v>72</v>
      </c>
      <c r="H124" s="17" t="s">
        <v>73</v>
      </c>
      <c r="I124" s="17" t="s">
        <v>74</v>
      </c>
    </row>
    <row r="125" customFormat="false" ht="38" hidden="false" customHeight="true" outlineLevel="0" collapsed="false">
      <c r="A125" s="17" t="s">
        <v>590</v>
      </c>
      <c r="B125" s="17" t="s">
        <v>284</v>
      </c>
      <c r="C125" s="17" t="s">
        <v>40</v>
      </c>
      <c r="D125" s="17" t="s">
        <v>591</v>
      </c>
      <c r="E125" s="17" t="s">
        <v>286</v>
      </c>
      <c r="F125" s="17" t="s">
        <v>286</v>
      </c>
      <c r="G125" s="17" t="s">
        <v>72</v>
      </c>
      <c r="H125" s="17" t="s">
        <v>73</v>
      </c>
      <c r="I125" s="17" t="s">
        <v>74</v>
      </c>
    </row>
    <row r="126" customFormat="false" ht="38" hidden="false" customHeight="true" outlineLevel="0" collapsed="false">
      <c r="A126" s="17" t="s">
        <v>592</v>
      </c>
      <c r="B126" s="17" t="s">
        <v>289</v>
      </c>
      <c r="C126" s="17" t="s">
        <v>40</v>
      </c>
      <c r="D126" s="17" t="s">
        <v>593</v>
      </c>
      <c r="E126" s="17" t="s">
        <v>104</v>
      </c>
      <c r="F126" s="17" t="s">
        <v>104</v>
      </c>
      <c r="G126" s="17" t="s">
        <v>72</v>
      </c>
      <c r="H126" s="17" t="s">
        <v>73</v>
      </c>
      <c r="I126" s="17" t="s">
        <v>74</v>
      </c>
    </row>
    <row r="127" customFormat="false" ht="38" hidden="false" customHeight="true" outlineLevel="0" collapsed="false">
      <c r="A127" s="17" t="s">
        <v>594</v>
      </c>
      <c r="B127" s="17" t="s">
        <v>293</v>
      </c>
      <c r="C127" s="17" t="s">
        <v>40</v>
      </c>
      <c r="D127" s="17" t="s">
        <v>595</v>
      </c>
      <c r="E127" s="17" t="s">
        <v>104</v>
      </c>
      <c r="F127" s="17" t="s">
        <v>104</v>
      </c>
      <c r="G127" s="17" t="s">
        <v>72</v>
      </c>
      <c r="H127" s="17" t="s">
        <v>105</v>
      </c>
      <c r="I127" s="17" t="s">
        <v>74</v>
      </c>
    </row>
    <row r="128" customFormat="false" ht="38" hidden="false" customHeight="true" outlineLevel="0" collapsed="false">
      <c r="A128" s="17" t="s">
        <v>596</v>
      </c>
      <c r="B128" s="17" t="s">
        <v>297</v>
      </c>
      <c r="C128" s="17" t="s">
        <v>40</v>
      </c>
      <c r="D128" s="17" t="s">
        <v>597</v>
      </c>
      <c r="E128" s="17" t="s">
        <v>164</v>
      </c>
      <c r="F128" s="17" t="s">
        <v>164</v>
      </c>
      <c r="G128" s="17" t="s">
        <v>72</v>
      </c>
      <c r="H128" s="17" t="s">
        <v>73</v>
      </c>
      <c r="I128" s="17" t="s">
        <v>74</v>
      </c>
    </row>
    <row r="129" customFormat="false" ht="38" hidden="false" customHeight="true" outlineLevel="0" collapsed="false">
      <c r="A129" s="17" t="s">
        <v>598</v>
      </c>
      <c r="B129" s="17" t="s">
        <v>301</v>
      </c>
      <c r="C129" s="17" t="s">
        <v>40</v>
      </c>
      <c r="D129" s="17" t="s">
        <v>599</v>
      </c>
      <c r="E129" s="17" t="s">
        <v>278</v>
      </c>
      <c r="F129" s="17" t="s">
        <v>278</v>
      </c>
      <c r="G129" s="17" t="s">
        <v>72</v>
      </c>
      <c r="H129" s="17" t="s">
        <v>105</v>
      </c>
      <c r="I129" s="17" t="s">
        <v>74</v>
      </c>
    </row>
    <row r="130" customFormat="false" ht="38" hidden="false" customHeight="true" outlineLevel="0" collapsed="false">
      <c r="A130" s="17" t="s">
        <v>600</v>
      </c>
      <c r="B130" s="17" t="s">
        <v>305</v>
      </c>
      <c r="C130" s="17" t="s">
        <v>40</v>
      </c>
      <c r="D130" s="17" t="s">
        <v>601</v>
      </c>
      <c r="E130" s="17" t="s">
        <v>286</v>
      </c>
      <c r="F130" s="17" t="s">
        <v>286</v>
      </c>
      <c r="G130" s="17" t="s">
        <v>72</v>
      </c>
      <c r="H130" s="17" t="s">
        <v>73</v>
      </c>
      <c r="I130" s="17" t="s">
        <v>74</v>
      </c>
    </row>
    <row r="131" customFormat="false" ht="38" hidden="false" customHeight="true" outlineLevel="0" collapsed="false">
      <c r="A131" s="17" t="s">
        <v>603</v>
      </c>
      <c r="B131" s="17" t="s">
        <v>309</v>
      </c>
      <c r="C131" s="17" t="s">
        <v>40</v>
      </c>
      <c r="D131" s="17" t="s">
        <v>604</v>
      </c>
      <c r="E131" s="17" t="s">
        <v>311</v>
      </c>
      <c r="F131" s="17" t="s">
        <v>311</v>
      </c>
      <c r="G131" s="17" t="s">
        <v>72</v>
      </c>
      <c r="H131" s="17" t="s">
        <v>105</v>
      </c>
      <c r="I131" s="17" t="s">
        <v>74</v>
      </c>
    </row>
    <row r="132" customFormat="false" ht="38" hidden="false" customHeight="true" outlineLevel="0" collapsed="false">
      <c r="A132" s="17" t="s">
        <v>605</v>
      </c>
      <c r="B132" s="17" t="s">
        <v>314</v>
      </c>
      <c r="C132" s="17" t="s">
        <v>41</v>
      </c>
      <c r="D132" s="17" t="s">
        <v>606</v>
      </c>
      <c r="E132" s="17" t="s">
        <v>316</v>
      </c>
      <c r="F132" s="17" t="s">
        <v>316</v>
      </c>
      <c r="G132" s="17" t="s">
        <v>72</v>
      </c>
      <c r="H132" s="17" t="s">
        <v>73</v>
      </c>
      <c r="I132" s="17" t="s">
        <v>74</v>
      </c>
    </row>
    <row r="133" customFormat="false" ht="38" hidden="false" customHeight="true" outlineLevel="0" collapsed="false">
      <c r="A133" s="17" t="s">
        <v>608</v>
      </c>
      <c r="B133" s="17" t="s">
        <v>319</v>
      </c>
      <c r="C133" s="17" t="s">
        <v>41</v>
      </c>
      <c r="D133" s="17" t="s">
        <v>609</v>
      </c>
      <c r="E133" s="17" t="s">
        <v>321</v>
      </c>
      <c r="F133" s="17" t="s">
        <v>321</v>
      </c>
      <c r="G133" s="17" t="s">
        <v>72</v>
      </c>
      <c r="H133" s="17" t="s">
        <v>105</v>
      </c>
      <c r="I133" s="17" t="s">
        <v>74</v>
      </c>
    </row>
    <row r="134" customFormat="false" ht="38" hidden="false" customHeight="true" outlineLevel="0" collapsed="false">
      <c r="A134" s="17" t="s">
        <v>610</v>
      </c>
      <c r="B134" s="17" t="s">
        <v>323</v>
      </c>
      <c r="C134" s="17" t="s">
        <v>41</v>
      </c>
      <c r="D134" s="17" t="s">
        <v>611</v>
      </c>
      <c r="E134" s="17" t="s">
        <v>358</v>
      </c>
      <c r="F134" s="17" t="s">
        <v>358</v>
      </c>
      <c r="G134" s="17" t="s">
        <v>72</v>
      </c>
      <c r="H134" s="17" t="s">
        <v>105</v>
      </c>
      <c r="I134" s="17" t="s">
        <v>74</v>
      </c>
    </row>
    <row r="135" customFormat="false" ht="38" hidden="false" customHeight="true" outlineLevel="0" collapsed="false">
      <c r="A135" s="17" t="s">
        <v>612</v>
      </c>
      <c r="B135" s="17" t="s">
        <v>327</v>
      </c>
      <c r="C135" s="17" t="s">
        <v>41</v>
      </c>
      <c r="D135" s="17" t="s">
        <v>613</v>
      </c>
      <c r="E135" s="17" t="s">
        <v>436</v>
      </c>
      <c r="F135" s="17" t="s">
        <v>286</v>
      </c>
      <c r="G135" s="17" t="s">
        <v>72</v>
      </c>
      <c r="H135" s="17" t="s">
        <v>105</v>
      </c>
      <c r="I135" s="17" t="s">
        <v>74</v>
      </c>
    </row>
    <row r="136" customFormat="false" ht="38" hidden="false" customHeight="true" outlineLevel="0" collapsed="false">
      <c r="A136" s="17" t="s">
        <v>615</v>
      </c>
      <c r="B136" s="17" t="s">
        <v>333</v>
      </c>
      <c r="C136" s="17" t="s">
        <v>41</v>
      </c>
      <c r="D136" s="17" t="s">
        <v>616</v>
      </c>
      <c r="E136" s="17" t="s">
        <v>335</v>
      </c>
      <c r="F136" s="17" t="s">
        <v>336</v>
      </c>
      <c r="G136" s="17" t="s">
        <v>72</v>
      </c>
      <c r="H136" s="17" t="s">
        <v>105</v>
      </c>
      <c r="I136" s="17" t="s">
        <v>74</v>
      </c>
    </row>
    <row r="137" customFormat="false" ht="38" hidden="false" customHeight="true" outlineLevel="0" collapsed="false">
      <c r="A137" s="17" t="s">
        <v>617</v>
      </c>
      <c r="B137" s="17" t="s">
        <v>339</v>
      </c>
      <c r="C137" s="17" t="s">
        <v>41</v>
      </c>
      <c r="D137" s="17" t="s">
        <v>618</v>
      </c>
      <c r="E137" s="17" t="s">
        <v>341</v>
      </c>
      <c r="F137" s="17" t="s">
        <v>607</v>
      </c>
      <c r="G137" s="17" t="s">
        <v>72</v>
      </c>
      <c r="H137" s="17" t="s">
        <v>105</v>
      </c>
      <c r="I137" s="17" t="s">
        <v>74</v>
      </c>
    </row>
    <row r="138" customFormat="false" ht="38" hidden="false" customHeight="true" outlineLevel="0" collapsed="false">
      <c r="A138" s="17" t="s">
        <v>619</v>
      </c>
      <c r="B138" s="17" t="s">
        <v>344</v>
      </c>
      <c r="C138" s="17" t="s">
        <v>41</v>
      </c>
      <c r="D138" s="17" t="s">
        <v>620</v>
      </c>
      <c r="E138" s="17" t="s">
        <v>346</v>
      </c>
      <c r="F138" s="17" t="s">
        <v>164</v>
      </c>
      <c r="G138" s="17" t="s">
        <v>72</v>
      </c>
      <c r="H138" s="17" t="s">
        <v>105</v>
      </c>
      <c r="I138" s="17" t="s">
        <v>74</v>
      </c>
    </row>
    <row r="139" customFormat="false" ht="38" hidden="false" customHeight="true" outlineLevel="0" collapsed="false">
      <c r="A139" s="17" t="s">
        <v>621</v>
      </c>
      <c r="B139" s="17" t="s">
        <v>349</v>
      </c>
      <c r="C139" s="17" t="s">
        <v>39</v>
      </c>
      <c r="D139" s="17" t="s">
        <v>622</v>
      </c>
      <c r="E139" s="17" t="s">
        <v>351</v>
      </c>
      <c r="F139" s="17" t="s">
        <v>352</v>
      </c>
      <c r="G139" s="17" t="s">
        <v>72</v>
      </c>
      <c r="H139" s="17" t="s">
        <v>73</v>
      </c>
      <c r="I139" s="17" t="s">
        <v>74</v>
      </c>
    </row>
    <row r="140" customFormat="false" ht="38" hidden="false" customHeight="true" outlineLevel="0" collapsed="false">
      <c r="A140" s="17" t="s">
        <v>623</v>
      </c>
      <c r="B140" s="17" t="s">
        <v>349</v>
      </c>
      <c r="C140" s="17" t="s">
        <v>39</v>
      </c>
      <c r="D140" s="17" t="s">
        <v>624</v>
      </c>
      <c r="E140" s="17" t="s">
        <v>351</v>
      </c>
      <c r="F140" s="17" t="s">
        <v>355</v>
      </c>
      <c r="G140" s="17" t="s">
        <v>72</v>
      </c>
      <c r="H140" s="17" t="s">
        <v>73</v>
      </c>
      <c r="I140" s="17" t="s">
        <v>74</v>
      </c>
    </row>
    <row r="141" customFormat="false" ht="38" hidden="false" customHeight="true" outlineLevel="0" collapsed="false">
      <c r="A141" s="17" t="s">
        <v>625</v>
      </c>
      <c r="B141" s="17" t="s">
        <v>349</v>
      </c>
      <c r="C141" s="17" t="s">
        <v>39</v>
      </c>
      <c r="D141" s="17" t="s">
        <v>626</v>
      </c>
      <c r="E141" s="17" t="s">
        <v>351</v>
      </c>
      <c r="F141" s="17" t="s">
        <v>627</v>
      </c>
      <c r="G141" s="17" t="s">
        <v>72</v>
      </c>
      <c r="H141" s="17" t="s">
        <v>73</v>
      </c>
      <c r="I141" s="17" t="s">
        <v>74</v>
      </c>
    </row>
    <row r="142" customFormat="false" ht="38" hidden="false" customHeight="true" outlineLevel="0" collapsed="false">
      <c r="A142" s="17" t="s">
        <v>628</v>
      </c>
      <c r="B142" s="17" t="s">
        <v>349</v>
      </c>
      <c r="C142" s="17" t="s">
        <v>39</v>
      </c>
      <c r="D142" s="17" t="s">
        <v>629</v>
      </c>
      <c r="E142" s="17" t="s">
        <v>351</v>
      </c>
      <c r="F142" s="17" t="s">
        <v>358</v>
      </c>
      <c r="G142" s="17" t="s">
        <v>72</v>
      </c>
      <c r="H142" s="17" t="s">
        <v>73</v>
      </c>
      <c r="I142" s="17" t="s">
        <v>74</v>
      </c>
    </row>
    <row r="143" customFormat="false" ht="38" hidden="false" customHeight="true" outlineLevel="0" collapsed="false">
      <c r="A143" s="17" t="s">
        <v>630</v>
      </c>
      <c r="B143" s="17" t="s">
        <v>349</v>
      </c>
      <c r="C143" s="17" t="s">
        <v>39</v>
      </c>
      <c r="D143" s="17" t="s">
        <v>631</v>
      </c>
      <c r="E143" s="17" t="s">
        <v>351</v>
      </c>
      <c r="F143" s="17" t="s">
        <v>453</v>
      </c>
      <c r="G143" s="17" t="s">
        <v>72</v>
      </c>
      <c r="H143" s="17" t="s">
        <v>73</v>
      </c>
      <c r="I143" s="17" t="s">
        <v>74</v>
      </c>
    </row>
    <row r="144" customFormat="false" ht="38" hidden="false" customHeight="true" outlineLevel="0" collapsed="false">
      <c r="A144" s="17" t="s">
        <v>632</v>
      </c>
      <c r="B144" s="17" t="s">
        <v>349</v>
      </c>
      <c r="C144" s="17" t="s">
        <v>39</v>
      </c>
      <c r="D144" s="17" t="s">
        <v>633</v>
      </c>
      <c r="E144" s="17" t="s">
        <v>351</v>
      </c>
      <c r="F144" s="17" t="s">
        <v>361</v>
      </c>
      <c r="G144" s="17" t="s">
        <v>72</v>
      </c>
      <c r="H144" s="17" t="s">
        <v>73</v>
      </c>
      <c r="I144" s="17" t="s">
        <v>74</v>
      </c>
    </row>
    <row r="145" customFormat="false" ht="38" hidden="false" customHeight="true" outlineLevel="0" collapsed="false">
      <c r="A145" s="17" t="s">
        <v>634</v>
      </c>
      <c r="B145" s="17" t="s">
        <v>349</v>
      </c>
      <c r="C145" s="17" t="s">
        <v>39</v>
      </c>
      <c r="D145" s="17" t="s">
        <v>635</v>
      </c>
      <c r="E145" s="17" t="s">
        <v>351</v>
      </c>
      <c r="F145" s="17" t="s">
        <v>364</v>
      </c>
      <c r="G145" s="17" t="s">
        <v>72</v>
      </c>
      <c r="H145" s="17" t="s">
        <v>73</v>
      </c>
      <c r="I145" s="17" t="s">
        <v>74</v>
      </c>
    </row>
    <row r="146" customFormat="false" ht="38" hidden="false" customHeight="true" outlineLevel="0" collapsed="false">
      <c r="A146" s="17" t="s">
        <v>636</v>
      </c>
      <c r="B146" s="17" t="s">
        <v>349</v>
      </c>
      <c r="C146" s="17" t="s">
        <v>39</v>
      </c>
      <c r="D146" s="17" t="s">
        <v>637</v>
      </c>
      <c r="E146" s="17" t="s">
        <v>351</v>
      </c>
      <c r="F146" s="17" t="s">
        <v>367</v>
      </c>
      <c r="G146" s="17" t="s">
        <v>72</v>
      </c>
      <c r="H146" s="17" t="s">
        <v>73</v>
      </c>
      <c r="I146" s="17" t="s">
        <v>74</v>
      </c>
    </row>
    <row r="147" customFormat="false" ht="38" hidden="false" customHeight="true" outlineLevel="0" collapsed="false">
      <c r="A147" s="17" t="s">
        <v>638</v>
      </c>
      <c r="B147" s="17" t="s">
        <v>349</v>
      </c>
      <c r="C147" s="17" t="s">
        <v>39</v>
      </c>
      <c r="D147" s="17" t="s">
        <v>639</v>
      </c>
      <c r="E147" s="17" t="s">
        <v>351</v>
      </c>
      <c r="F147" s="17" t="s">
        <v>370</v>
      </c>
      <c r="G147" s="17" t="s">
        <v>72</v>
      </c>
      <c r="H147" s="17" t="s">
        <v>73</v>
      </c>
      <c r="I147" s="17" t="s">
        <v>74</v>
      </c>
    </row>
    <row r="148" customFormat="false" ht="38" hidden="false" customHeight="true" outlineLevel="0" collapsed="false">
      <c r="A148" s="17" t="s">
        <v>640</v>
      </c>
      <c r="B148" s="17" t="s">
        <v>349</v>
      </c>
      <c r="C148" s="17" t="s">
        <v>39</v>
      </c>
      <c r="D148" s="17" t="s">
        <v>641</v>
      </c>
      <c r="E148" s="17" t="s">
        <v>351</v>
      </c>
      <c r="F148" s="17" t="s">
        <v>373</v>
      </c>
      <c r="G148" s="17" t="s">
        <v>72</v>
      </c>
      <c r="H148" s="17" t="s">
        <v>73</v>
      </c>
      <c r="I148" s="17" t="s">
        <v>74</v>
      </c>
    </row>
    <row r="149" customFormat="false" ht="38" hidden="false" customHeight="true" outlineLevel="0" collapsed="false">
      <c r="A149" s="17" t="s">
        <v>642</v>
      </c>
      <c r="B149" s="17" t="s">
        <v>349</v>
      </c>
      <c r="C149" s="17" t="s">
        <v>39</v>
      </c>
      <c r="D149" s="17" t="s">
        <v>643</v>
      </c>
      <c r="E149" s="17" t="s">
        <v>351</v>
      </c>
      <c r="F149" s="17" t="s">
        <v>316</v>
      </c>
      <c r="G149" s="17" t="s">
        <v>72</v>
      </c>
      <c r="H149" s="17" t="s">
        <v>73</v>
      </c>
      <c r="I149" s="17" t="s">
        <v>74</v>
      </c>
    </row>
    <row r="150" customFormat="false" ht="38" hidden="false" customHeight="true" outlineLevel="0" collapsed="false">
      <c r="A150" s="17" t="s">
        <v>644</v>
      </c>
      <c r="B150" s="17" t="s">
        <v>349</v>
      </c>
      <c r="C150" s="17" t="s">
        <v>39</v>
      </c>
      <c r="D150" s="17" t="s">
        <v>645</v>
      </c>
      <c r="E150" s="17" t="s">
        <v>351</v>
      </c>
      <c r="F150" s="17" t="s">
        <v>378</v>
      </c>
      <c r="G150" s="17" t="s">
        <v>72</v>
      </c>
      <c r="H150" s="17" t="s">
        <v>73</v>
      </c>
      <c r="I150" s="17" t="s">
        <v>74</v>
      </c>
    </row>
    <row r="151" customFormat="false" ht="38" hidden="false" customHeight="true" outlineLevel="0" collapsed="false">
      <c r="A151" s="17" t="s">
        <v>646</v>
      </c>
      <c r="B151" s="17" t="s">
        <v>349</v>
      </c>
      <c r="C151" s="17" t="s">
        <v>39</v>
      </c>
      <c r="D151" s="17" t="s">
        <v>647</v>
      </c>
      <c r="E151" s="17" t="s">
        <v>351</v>
      </c>
      <c r="F151" s="17" t="s">
        <v>648</v>
      </c>
      <c r="G151" s="17" t="s">
        <v>72</v>
      </c>
      <c r="H151" s="17" t="s">
        <v>73</v>
      </c>
      <c r="I151" s="17" t="s">
        <v>74</v>
      </c>
    </row>
    <row r="152" customFormat="false" ht="38" hidden="false" customHeight="true" outlineLevel="0" collapsed="false">
      <c r="A152" s="17" t="s">
        <v>649</v>
      </c>
      <c r="B152" s="17" t="s">
        <v>349</v>
      </c>
      <c r="C152" s="17" t="s">
        <v>39</v>
      </c>
      <c r="D152" s="17" t="s">
        <v>650</v>
      </c>
      <c r="E152" s="17" t="s">
        <v>351</v>
      </c>
      <c r="F152" s="17" t="s">
        <v>381</v>
      </c>
      <c r="G152" s="17" t="s">
        <v>72</v>
      </c>
      <c r="H152" s="17" t="s">
        <v>73</v>
      </c>
      <c r="I152" s="17" t="s">
        <v>74</v>
      </c>
    </row>
    <row r="153" customFormat="false" ht="38" hidden="false" customHeight="true" outlineLevel="0" collapsed="false">
      <c r="A153" s="17" t="s">
        <v>651</v>
      </c>
      <c r="B153" s="17" t="s">
        <v>349</v>
      </c>
      <c r="C153" s="17" t="s">
        <v>39</v>
      </c>
      <c r="D153" s="17" t="s">
        <v>652</v>
      </c>
      <c r="E153" s="17" t="s">
        <v>351</v>
      </c>
      <c r="F153" s="17" t="s">
        <v>653</v>
      </c>
      <c r="G153" s="17" t="s">
        <v>72</v>
      </c>
      <c r="H153" s="17" t="s">
        <v>73</v>
      </c>
      <c r="I153" s="17" t="s">
        <v>74</v>
      </c>
    </row>
    <row r="154" customFormat="false" ht="38" hidden="false" customHeight="true" outlineLevel="0" collapsed="false">
      <c r="A154" s="17" t="s">
        <v>654</v>
      </c>
      <c r="B154" s="17" t="s">
        <v>349</v>
      </c>
      <c r="C154" s="17" t="s">
        <v>39</v>
      </c>
      <c r="D154" s="17" t="s">
        <v>655</v>
      </c>
      <c r="E154" s="17" t="s">
        <v>351</v>
      </c>
      <c r="F154" s="17" t="s">
        <v>387</v>
      </c>
      <c r="G154" s="17" t="s">
        <v>72</v>
      </c>
      <c r="H154" s="17" t="s">
        <v>73</v>
      </c>
      <c r="I154" s="17" t="s">
        <v>74</v>
      </c>
    </row>
    <row r="155" customFormat="false" ht="38" hidden="false" customHeight="true" outlineLevel="0" collapsed="false">
      <c r="A155" s="17" t="s">
        <v>656</v>
      </c>
      <c r="B155" s="17" t="s">
        <v>349</v>
      </c>
      <c r="C155" s="17" t="s">
        <v>39</v>
      </c>
      <c r="D155" s="17" t="s">
        <v>657</v>
      </c>
      <c r="E155" s="17" t="s">
        <v>351</v>
      </c>
      <c r="F155" s="17" t="s">
        <v>513</v>
      </c>
      <c r="G155" s="17" t="s">
        <v>72</v>
      </c>
      <c r="H155" s="17" t="s">
        <v>73</v>
      </c>
      <c r="I155" s="17" t="s">
        <v>74</v>
      </c>
    </row>
    <row r="156" customFormat="false" ht="38" hidden="false" customHeight="true" outlineLevel="0" collapsed="false">
      <c r="A156" s="17" t="s">
        <v>658</v>
      </c>
      <c r="B156" s="17" t="s">
        <v>349</v>
      </c>
      <c r="C156" s="17" t="s">
        <v>39</v>
      </c>
      <c r="D156" s="17" t="s">
        <v>659</v>
      </c>
      <c r="E156" s="17" t="s">
        <v>351</v>
      </c>
      <c r="F156" s="17" t="s">
        <v>321</v>
      </c>
      <c r="G156" s="17" t="s">
        <v>72</v>
      </c>
      <c r="H156" s="17" t="s">
        <v>73</v>
      </c>
      <c r="I156" s="17" t="s">
        <v>74</v>
      </c>
    </row>
    <row r="157" customFormat="false" ht="38" hidden="false" customHeight="true" outlineLevel="0" collapsed="false">
      <c r="A157" s="17" t="s">
        <v>660</v>
      </c>
      <c r="B157" s="17" t="s">
        <v>349</v>
      </c>
      <c r="C157" s="17" t="s">
        <v>39</v>
      </c>
      <c r="D157" s="17" t="s">
        <v>661</v>
      </c>
      <c r="E157" s="17" t="s">
        <v>351</v>
      </c>
      <c r="F157" s="17" t="s">
        <v>392</v>
      </c>
      <c r="G157" s="17" t="s">
        <v>72</v>
      </c>
      <c r="H157" s="17" t="s">
        <v>73</v>
      </c>
      <c r="I157" s="17" t="s">
        <v>74</v>
      </c>
    </row>
    <row r="158" customFormat="false" ht="38" hidden="false" customHeight="true" outlineLevel="0" collapsed="false">
      <c r="A158" s="17" t="s">
        <v>662</v>
      </c>
      <c r="B158" s="17" t="s">
        <v>349</v>
      </c>
      <c r="C158" s="17" t="s">
        <v>39</v>
      </c>
      <c r="D158" s="17" t="s">
        <v>663</v>
      </c>
      <c r="E158" s="17" t="s">
        <v>351</v>
      </c>
      <c r="F158" s="17" t="s">
        <v>395</v>
      </c>
      <c r="G158" s="17" t="s">
        <v>72</v>
      </c>
      <c r="H158" s="17" t="s">
        <v>73</v>
      </c>
      <c r="I158" s="17" t="s">
        <v>74</v>
      </c>
    </row>
    <row r="159" customFormat="false" ht="38" hidden="false" customHeight="true" outlineLevel="0" collapsed="false">
      <c r="A159" s="17" t="s">
        <v>664</v>
      </c>
      <c r="B159" s="17" t="s">
        <v>349</v>
      </c>
      <c r="C159" s="17" t="s">
        <v>39</v>
      </c>
      <c r="D159" s="17" t="s">
        <v>665</v>
      </c>
      <c r="E159" s="17" t="s">
        <v>351</v>
      </c>
      <c r="F159" s="17" t="s">
        <v>325</v>
      </c>
      <c r="G159" s="17" t="s">
        <v>72</v>
      </c>
      <c r="H159" s="17" t="s">
        <v>73</v>
      </c>
      <c r="I159" s="17" t="s">
        <v>74</v>
      </c>
    </row>
    <row r="160" customFormat="false" ht="38" hidden="false" customHeight="true" outlineLevel="0" collapsed="false">
      <c r="A160" s="17" t="s">
        <v>666</v>
      </c>
      <c r="B160" s="17" t="s">
        <v>264</v>
      </c>
      <c r="C160" s="17" t="s">
        <v>40</v>
      </c>
      <c r="D160" s="17" t="s">
        <v>667</v>
      </c>
      <c r="E160" s="17" t="s">
        <v>130</v>
      </c>
      <c r="F160" s="17" t="s">
        <v>130</v>
      </c>
      <c r="G160" s="17" t="s">
        <v>72</v>
      </c>
      <c r="H160" s="17" t="s">
        <v>73</v>
      </c>
      <c r="I160" s="17" t="s">
        <v>74</v>
      </c>
    </row>
    <row r="161" customFormat="false" ht="38" hidden="false" customHeight="true" outlineLevel="0" collapsed="false">
      <c r="A161" s="17" t="s">
        <v>668</v>
      </c>
      <c r="B161" s="17" t="s">
        <v>267</v>
      </c>
      <c r="C161" s="17" t="s">
        <v>40</v>
      </c>
      <c r="D161" s="17" t="s">
        <v>669</v>
      </c>
      <c r="E161" s="17" t="s">
        <v>269</v>
      </c>
      <c r="F161" s="17" t="s">
        <v>269</v>
      </c>
      <c r="G161" s="17" t="s">
        <v>72</v>
      </c>
      <c r="H161" s="17" t="s">
        <v>105</v>
      </c>
      <c r="I161" s="17" t="s">
        <v>74</v>
      </c>
    </row>
    <row r="162" customFormat="false" ht="38" hidden="false" customHeight="true" outlineLevel="0" collapsed="false">
      <c r="A162" s="17" t="s">
        <v>670</v>
      </c>
      <c r="B162" s="17" t="s">
        <v>272</v>
      </c>
      <c r="C162" s="17" t="s">
        <v>40</v>
      </c>
      <c r="D162" s="17" t="s">
        <v>671</v>
      </c>
      <c r="E162" s="17" t="s">
        <v>672</v>
      </c>
      <c r="F162" s="17" t="s">
        <v>672</v>
      </c>
      <c r="G162" s="17" t="s">
        <v>72</v>
      </c>
      <c r="H162" s="17" t="s">
        <v>105</v>
      </c>
      <c r="I162" s="17" t="s">
        <v>74</v>
      </c>
    </row>
    <row r="163" customFormat="false" ht="38" hidden="false" customHeight="true" outlineLevel="0" collapsed="false">
      <c r="A163" s="17" t="s">
        <v>673</v>
      </c>
      <c r="B163" s="17" t="s">
        <v>276</v>
      </c>
      <c r="C163" s="17" t="s">
        <v>40</v>
      </c>
      <c r="D163" s="17" t="s">
        <v>674</v>
      </c>
      <c r="E163" s="17" t="s">
        <v>675</v>
      </c>
      <c r="F163" s="17" t="s">
        <v>675</v>
      </c>
      <c r="G163" s="17" t="s">
        <v>72</v>
      </c>
      <c r="H163" s="17" t="s">
        <v>73</v>
      </c>
      <c r="I163" s="17" t="s">
        <v>74</v>
      </c>
    </row>
    <row r="164" customFormat="false" ht="38" hidden="false" customHeight="true" outlineLevel="0" collapsed="false">
      <c r="A164" s="17" t="s">
        <v>676</v>
      </c>
      <c r="B164" s="17" t="s">
        <v>281</v>
      </c>
      <c r="C164" s="17" t="s">
        <v>40</v>
      </c>
      <c r="D164" s="17" t="s">
        <v>677</v>
      </c>
      <c r="E164" s="17" t="s">
        <v>175</v>
      </c>
      <c r="F164" s="17" t="s">
        <v>175</v>
      </c>
      <c r="G164" s="17" t="s">
        <v>72</v>
      </c>
      <c r="H164" s="17" t="s">
        <v>73</v>
      </c>
      <c r="I164" s="17" t="s">
        <v>74</v>
      </c>
    </row>
    <row r="165" customFormat="false" ht="38" hidden="false" customHeight="true" outlineLevel="0" collapsed="false">
      <c r="A165" s="17" t="s">
        <v>678</v>
      </c>
      <c r="B165" s="17" t="s">
        <v>284</v>
      </c>
      <c r="C165" s="17" t="s">
        <v>40</v>
      </c>
      <c r="D165" s="17" t="s">
        <v>679</v>
      </c>
      <c r="E165" s="17" t="s">
        <v>175</v>
      </c>
      <c r="F165" s="17" t="s">
        <v>175</v>
      </c>
      <c r="G165" s="17" t="s">
        <v>72</v>
      </c>
      <c r="H165" s="17" t="s">
        <v>73</v>
      </c>
      <c r="I165" s="17" t="s">
        <v>74</v>
      </c>
    </row>
    <row r="166" customFormat="false" ht="38" hidden="false" customHeight="true" outlineLevel="0" collapsed="false">
      <c r="A166" s="17" t="s">
        <v>680</v>
      </c>
      <c r="B166" s="17" t="s">
        <v>289</v>
      </c>
      <c r="C166" s="17" t="s">
        <v>40</v>
      </c>
      <c r="D166" s="17" t="s">
        <v>681</v>
      </c>
      <c r="E166" s="17" t="s">
        <v>104</v>
      </c>
      <c r="F166" s="17" t="s">
        <v>104</v>
      </c>
      <c r="G166" s="17" t="s">
        <v>72</v>
      </c>
      <c r="H166" s="17" t="s">
        <v>73</v>
      </c>
      <c r="I166" s="17" t="s">
        <v>74</v>
      </c>
    </row>
    <row r="167" customFormat="false" ht="38" hidden="false" customHeight="true" outlineLevel="0" collapsed="false">
      <c r="A167" s="17" t="s">
        <v>682</v>
      </c>
      <c r="B167" s="17" t="s">
        <v>293</v>
      </c>
      <c r="C167" s="17" t="s">
        <v>40</v>
      </c>
      <c r="D167" s="17" t="s">
        <v>683</v>
      </c>
      <c r="E167" s="17" t="s">
        <v>104</v>
      </c>
      <c r="F167" s="17" t="s">
        <v>104</v>
      </c>
      <c r="G167" s="17" t="s">
        <v>72</v>
      </c>
      <c r="H167" s="17" t="s">
        <v>105</v>
      </c>
      <c r="I167" s="17" t="s">
        <v>74</v>
      </c>
    </row>
    <row r="168" customFormat="false" ht="38" hidden="false" customHeight="true" outlineLevel="0" collapsed="false">
      <c r="A168" s="17" t="s">
        <v>684</v>
      </c>
      <c r="B168" s="17" t="s">
        <v>297</v>
      </c>
      <c r="C168" s="17" t="s">
        <v>40</v>
      </c>
      <c r="D168" s="17" t="s">
        <v>685</v>
      </c>
      <c r="E168" s="17" t="s">
        <v>164</v>
      </c>
      <c r="F168" s="17" t="s">
        <v>164</v>
      </c>
      <c r="G168" s="17" t="s">
        <v>72</v>
      </c>
      <c r="H168" s="17" t="s">
        <v>73</v>
      </c>
      <c r="I168" s="17" t="s">
        <v>74</v>
      </c>
    </row>
    <row r="169" customFormat="false" ht="38" hidden="false" customHeight="true" outlineLevel="0" collapsed="false">
      <c r="A169" s="17" t="s">
        <v>686</v>
      </c>
      <c r="B169" s="17" t="s">
        <v>301</v>
      </c>
      <c r="C169" s="17" t="s">
        <v>40</v>
      </c>
      <c r="D169" s="17" t="s">
        <v>687</v>
      </c>
      <c r="E169" s="17" t="s">
        <v>675</v>
      </c>
      <c r="F169" s="17" t="s">
        <v>675</v>
      </c>
      <c r="G169" s="17" t="s">
        <v>72</v>
      </c>
      <c r="H169" s="17" t="s">
        <v>105</v>
      </c>
      <c r="I169" s="17" t="s">
        <v>74</v>
      </c>
    </row>
    <row r="170" customFormat="false" ht="38" hidden="false" customHeight="true" outlineLevel="0" collapsed="false">
      <c r="A170" s="17" t="s">
        <v>688</v>
      </c>
      <c r="B170" s="17" t="s">
        <v>305</v>
      </c>
      <c r="C170" s="17" t="s">
        <v>40</v>
      </c>
      <c r="D170" s="17" t="s">
        <v>689</v>
      </c>
      <c r="E170" s="17" t="s">
        <v>175</v>
      </c>
      <c r="F170" s="17" t="s">
        <v>175</v>
      </c>
      <c r="G170" s="17" t="s">
        <v>72</v>
      </c>
      <c r="H170" s="17" t="s">
        <v>73</v>
      </c>
      <c r="I170" s="17" t="s">
        <v>74</v>
      </c>
    </row>
    <row r="171" customFormat="false" ht="38" hidden="false" customHeight="true" outlineLevel="0" collapsed="false">
      <c r="A171" s="17" t="s">
        <v>691</v>
      </c>
      <c r="B171" s="17" t="s">
        <v>309</v>
      </c>
      <c r="C171" s="17" t="s">
        <v>40</v>
      </c>
      <c r="D171" s="17" t="s">
        <v>692</v>
      </c>
      <c r="E171" s="17" t="s">
        <v>693</v>
      </c>
      <c r="F171" s="17" t="s">
        <v>693</v>
      </c>
      <c r="G171" s="17" t="s">
        <v>72</v>
      </c>
      <c r="H171" s="17" t="s">
        <v>105</v>
      </c>
      <c r="I171" s="17" t="s">
        <v>74</v>
      </c>
    </row>
    <row r="172" customFormat="false" ht="38" hidden="false" customHeight="true" outlineLevel="0" collapsed="false">
      <c r="A172" s="17" t="s">
        <v>694</v>
      </c>
      <c r="B172" s="17" t="s">
        <v>314</v>
      </c>
      <c r="C172" s="17" t="s">
        <v>41</v>
      </c>
      <c r="D172" s="17" t="s">
        <v>695</v>
      </c>
      <c r="E172" s="17" t="s">
        <v>316</v>
      </c>
      <c r="F172" s="17" t="s">
        <v>316</v>
      </c>
      <c r="G172" s="17" t="s">
        <v>72</v>
      </c>
      <c r="H172" s="17" t="s">
        <v>73</v>
      </c>
      <c r="I172" s="17" t="s">
        <v>74</v>
      </c>
    </row>
    <row r="173" customFormat="false" ht="38" hidden="false" customHeight="true" outlineLevel="0" collapsed="false">
      <c r="A173" s="17" t="s">
        <v>697</v>
      </c>
      <c r="B173" s="17" t="s">
        <v>319</v>
      </c>
      <c r="C173" s="17" t="s">
        <v>41</v>
      </c>
      <c r="D173" s="17" t="s">
        <v>698</v>
      </c>
      <c r="E173" s="17" t="s">
        <v>321</v>
      </c>
      <c r="F173" s="17" t="s">
        <v>321</v>
      </c>
      <c r="G173" s="17" t="s">
        <v>72</v>
      </c>
      <c r="H173" s="17" t="s">
        <v>105</v>
      </c>
      <c r="I173" s="17" t="s">
        <v>74</v>
      </c>
    </row>
    <row r="174" customFormat="false" ht="38" hidden="false" customHeight="true" outlineLevel="0" collapsed="false">
      <c r="A174" s="17" t="s">
        <v>699</v>
      </c>
      <c r="B174" s="17" t="s">
        <v>323</v>
      </c>
      <c r="C174" s="17" t="s">
        <v>41</v>
      </c>
      <c r="D174" s="17" t="s">
        <v>700</v>
      </c>
      <c r="E174" s="17" t="s">
        <v>358</v>
      </c>
      <c r="F174" s="17" t="s">
        <v>358</v>
      </c>
      <c r="G174" s="17" t="s">
        <v>72</v>
      </c>
      <c r="H174" s="17" t="s">
        <v>105</v>
      </c>
      <c r="I174" s="17" t="s">
        <v>74</v>
      </c>
    </row>
    <row r="175" customFormat="false" ht="38" hidden="false" customHeight="true" outlineLevel="0" collapsed="false">
      <c r="A175" s="17" t="s">
        <v>701</v>
      </c>
      <c r="B175" s="17" t="s">
        <v>327</v>
      </c>
      <c r="C175" s="17" t="s">
        <v>41</v>
      </c>
      <c r="D175" s="17" t="s">
        <v>702</v>
      </c>
      <c r="E175" s="17" t="s">
        <v>436</v>
      </c>
      <c r="F175" s="17" t="s">
        <v>286</v>
      </c>
      <c r="G175" s="17" t="s">
        <v>72</v>
      </c>
      <c r="H175" s="17" t="s">
        <v>105</v>
      </c>
      <c r="I175" s="17" t="s">
        <v>74</v>
      </c>
    </row>
    <row r="176" customFormat="false" ht="38" hidden="false" customHeight="true" outlineLevel="0" collapsed="false">
      <c r="A176" s="17" t="s">
        <v>704</v>
      </c>
      <c r="B176" s="17" t="s">
        <v>333</v>
      </c>
      <c r="C176" s="17" t="s">
        <v>41</v>
      </c>
      <c r="D176" s="17" t="s">
        <v>705</v>
      </c>
      <c r="E176" s="17" t="s">
        <v>706</v>
      </c>
      <c r="F176" s="17" t="s">
        <v>707</v>
      </c>
      <c r="G176" s="17" t="s">
        <v>72</v>
      </c>
      <c r="H176" s="17" t="s">
        <v>105</v>
      </c>
      <c r="I176" s="17" t="s">
        <v>74</v>
      </c>
    </row>
    <row r="177" customFormat="false" ht="38" hidden="false" customHeight="true" outlineLevel="0" collapsed="false">
      <c r="A177" s="17" t="s">
        <v>708</v>
      </c>
      <c r="B177" s="17" t="s">
        <v>339</v>
      </c>
      <c r="C177" s="17" t="s">
        <v>41</v>
      </c>
      <c r="D177" s="17" t="s">
        <v>709</v>
      </c>
      <c r="E177" s="17" t="s">
        <v>341</v>
      </c>
      <c r="F177" s="17" t="s">
        <v>696</v>
      </c>
      <c r="G177" s="17" t="s">
        <v>72</v>
      </c>
      <c r="H177" s="17" t="s">
        <v>105</v>
      </c>
      <c r="I177" s="17" t="s">
        <v>74</v>
      </c>
    </row>
    <row r="178" customFormat="false" ht="38" hidden="false" customHeight="true" outlineLevel="0" collapsed="false">
      <c r="A178" s="17" t="s">
        <v>710</v>
      </c>
      <c r="B178" s="17" t="s">
        <v>344</v>
      </c>
      <c r="C178" s="17" t="s">
        <v>41</v>
      </c>
      <c r="D178" s="17" t="s">
        <v>711</v>
      </c>
      <c r="E178" s="17" t="s">
        <v>346</v>
      </c>
      <c r="F178" s="17" t="s">
        <v>164</v>
      </c>
      <c r="G178" s="17" t="s">
        <v>72</v>
      </c>
      <c r="H178" s="17" t="s">
        <v>105</v>
      </c>
      <c r="I178" s="17" t="s">
        <v>74</v>
      </c>
    </row>
    <row r="179" customFormat="false" ht="38" hidden="false" customHeight="true" outlineLevel="0" collapsed="false">
      <c r="A179" s="17" t="s">
        <v>712</v>
      </c>
      <c r="B179" s="17" t="s">
        <v>349</v>
      </c>
      <c r="C179" s="17" t="s">
        <v>39</v>
      </c>
      <c r="D179" s="17" t="s">
        <v>713</v>
      </c>
      <c r="E179" s="17" t="s">
        <v>351</v>
      </c>
      <c r="F179" s="17" t="s">
        <v>352</v>
      </c>
      <c r="G179" s="17" t="s">
        <v>72</v>
      </c>
      <c r="H179" s="17" t="s">
        <v>73</v>
      </c>
      <c r="I179" s="17" t="s">
        <v>74</v>
      </c>
    </row>
    <row r="180" customFormat="false" ht="38" hidden="false" customHeight="true" outlineLevel="0" collapsed="false">
      <c r="A180" s="17" t="s">
        <v>714</v>
      </c>
      <c r="B180" s="17" t="s">
        <v>349</v>
      </c>
      <c r="C180" s="17" t="s">
        <v>39</v>
      </c>
      <c r="D180" s="17" t="s">
        <v>715</v>
      </c>
      <c r="E180" s="17" t="s">
        <v>351</v>
      </c>
      <c r="F180" s="17" t="s">
        <v>355</v>
      </c>
      <c r="G180" s="17" t="s">
        <v>72</v>
      </c>
      <c r="H180" s="17" t="s">
        <v>73</v>
      </c>
      <c r="I180" s="17" t="s">
        <v>74</v>
      </c>
    </row>
    <row r="181" customFormat="false" ht="38" hidden="false" customHeight="true" outlineLevel="0" collapsed="false">
      <c r="A181" s="17" t="s">
        <v>716</v>
      </c>
      <c r="B181" s="17" t="s">
        <v>349</v>
      </c>
      <c r="C181" s="17" t="s">
        <v>39</v>
      </c>
      <c r="D181" s="17" t="s">
        <v>717</v>
      </c>
      <c r="E181" s="17" t="s">
        <v>351</v>
      </c>
      <c r="F181" s="17" t="s">
        <v>358</v>
      </c>
      <c r="G181" s="17" t="s">
        <v>72</v>
      </c>
      <c r="H181" s="17" t="s">
        <v>73</v>
      </c>
      <c r="I181" s="17" t="s">
        <v>74</v>
      </c>
    </row>
    <row r="182" customFormat="false" ht="38" hidden="false" customHeight="true" outlineLevel="0" collapsed="false">
      <c r="A182" s="17" t="s">
        <v>718</v>
      </c>
      <c r="B182" s="17" t="s">
        <v>349</v>
      </c>
      <c r="C182" s="17" t="s">
        <v>39</v>
      </c>
      <c r="D182" s="17" t="s">
        <v>719</v>
      </c>
      <c r="E182" s="17" t="s">
        <v>351</v>
      </c>
      <c r="F182" s="17" t="s">
        <v>367</v>
      </c>
      <c r="G182" s="17" t="s">
        <v>72</v>
      </c>
      <c r="H182" s="17" t="s">
        <v>73</v>
      </c>
      <c r="I182" s="17" t="s">
        <v>74</v>
      </c>
    </row>
    <row r="183" customFormat="false" ht="38" hidden="false" customHeight="true" outlineLevel="0" collapsed="false">
      <c r="A183" s="17" t="s">
        <v>720</v>
      </c>
      <c r="B183" s="17" t="s">
        <v>349</v>
      </c>
      <c r="C183" s="17" t="s">
        <v>39</v>
      </c>
      <c r="D183" s="17" t="s">
        <v>721</v>
      </c>
      <c r="E183" s="17" t="s">
        <v>351</v>
      </c>
      <c r="F183" s="17" t="s">
        <v>370</v>
      </c>
      <c r="G183" s="17" t="s">
        <v>72</v>
      </c>
      <c r="H183" s="17" t="s">
        <v>73</v>
      </c>
      <c r="I183" s="17" t="s">
        <v>74</v>
      </c>
    </row>
    <row r="184" customFormat="false" ht="38" hidden="false" customHeight="true" outlineLevel="0" collapsed="false">
      <c r="A184" s="17" t="s">
        <v>722</v>
      </c>
      <c r="B184" s="17" t="s">
        <v>349</v>
      </c>
      <c r="C184" s="17" t="s">
        <v>39</v>
      </c>
      <c r="D184" s="17" t="s">
        <v>723</v>
      </c>
      <c r="E184" s="17" t="s">
        <v>351</v>
      </c>
      <c r="F184" s="17" t="s">
        <v>543</v>
      </c>
      <c r="G184" s="17" t="s">
        <v>72</v>
      </c>
      <c r="H184" s="17" t="s">
        <v>73</v>
      </c>
      <c r="I184" s="17" t="s">
        <v>74</v>
      </c>
    </row>
    <row r="185" customFormat="false" ht="38" hidden="false" customHeight="true" outlineLevel="0" collapsed="false">
      <c r="A185" s="17" t="s">
        <v>724</v>
      </c>
      <c r="B185" s="17" t="s">
        <v>349</v>
      </c>
      <c r="C185" s="17" t="s">
        <v>39</v>
      </c>
      <c r="D185" s="17" t="s">
        <v>725</v>
      </c>
      <c r="E185" s="17" t="s">
        <v>351</v>
      </c>
      <c r="F185" s="17" t="s">
        <v>373</v>
      </c>
      <c r="G185" s="17" t="s">
        <v>72</v>
      </c>
      <c r="H185" s="17" t="s">
        <v>73</v>
      </c>
      <c r="I185" s="17" t="s">
        <v>74</v>
      </c>
    </row>
    <row r="186" customFormat="false" ht="38" hidden="false" customHeight="true" outlineLevel="0" collapsed="false">
      <c r="A186" s="17" t="s">
        <v>726</v>
      </c>
      <c r="B186" s="17" t="s">
        <v>349</v>
      </c>
      <c r="C186" s="17" t="s">
        <v>39</v>
      </c>
      <c r="D186" s="17" t="s">
        <v>727</v>
      </c>
      <c r="E186" s="17" t="s">
        <v>351</v>
      </c>
      <c r="F186" s="17" t="s">
        <v>316</v>
      </c>
      <c r="G186" s="17" t="s">
        <v>72</v>
      </c>
      <c r="H186" s="17" t="s">
        <v>73</v>
      </c>
      <c r="I186" s="17" t="s">
        <v>74</v>
      </c>
    </row>
    <row r="187" customFormat="false" ht="38" hidden="false" customHeight="true" outlineLevel="0" collapsed="false">
      <c r="A187" s="17" t="s">
        <v>728</v>
      </c>
      <c r="B187" s="17" t="s">
        <v>349</v>
      </c>
      <c r="C187" s="17" t="s">
        <v>39</v>
      </c>
      <c r="D187" s="17" t="s">
        <v>729</v>
      </c>
      <c r="E187" s="17" t="s">
        <v>351</v>
      </c>
      <c r="F187" s="17" t="s">
        <v>378</v>
      </c>
      <c r="G187" s="17" t="s">
        <v>72</v>
      </c>
      <c r="H187" s="17" t="s">
        <v>73</v>
      </c>
      <c r="I187" s="17" t="s">
        <v>74</v>
      </c>
    </row>
    <row r="188" customFormat="false" ht="38" hidden="false" customHeight="true" outlineLevel="0" collapsed="false">
      <c r="A188" s="17" t="s">
        <v>730</v>
      </c>
      <c r="B188" s="17" t="s">
        <v>349</v>
      </c>
      <c r="C188" s="17" t="s">
        <v>39</v>
      </c>
      <c r="D188" s="17" t="s">
        <v>731</v>
      </c>
      <c r="E188" s="17" t="s">
        <v>351</v>
      </c>
      <c r="F188" s="17" t="s">
        <v>381</v>
      </c>
      <c r="G188" s="17" t="s">
        <v>72</v>
      </c>
      <c r="H188" s="17" t="s">
        <v>73</v>
      </c>
      <c r="I188" s="17" t="s">
        <v>74</v>
      </c>
    </row>
    <row r="189" customFormat="false" ht="38" hidden="false" customHeight="true" outlineLevel="0" collapsed="false">
      <c r="A189" s="17" t="s">
        <v>732</v>
      </c>
      <c r="B189" s="17" t="s">
        <v>349</v>
      </c>
      <c r="C189" s="17" t="s">
        <v>39</v>
      </c>
      <c r="D189" s="17" t="s">
        <v>733</v>
      </c>
      <c r="E189" s="17" t="s">
        <v>351</v>
      </c>
      <c r="F189" s="17" t="s">
        <v>734</v>
      </c>
      <c r="G189" s="17" t="s">
        <v>72</v>
      </c>
      <c r="H189" s="17" t="s">
        <v>73</v>
      </c>
      <c r="I189" s="17" t="s">
        <v>74</v>
      </c>
    </row>
    <row r="190" customFormat="false" ht="38" hidden="false" customHeight="true" outlineLevel="0" collapsed="false">
      <c r="A190" s="17" t="s">
        <v>735</v>
      </c>
      <c r="B190" s="17" t="s">
        <v>349</v>
      </c>
      <c r="C190" s="17" t="s">
        <v>39</v>
      </c>
      <c r="D190" s="17" t="s">
        <v>736</v>
      </c>
      <c r="E190" s="17" t="s">
        <v>351</v>
      </c>
      <c r="F190" s="17" t="s">
        <v>387</v>
      </c>
      <c r="G190" s="17" t="s">
        <v>72</v>
      </c>
      <c r="H190" s="17" t="s">
        <v>73</v>
      </c>
      <c r="I190" s="17" t="s">
        <v>74</v>
      </c>
    </row>
    <row r="191" customFormat="false" ht="38" hidden="false" customHeight="true" outlineLevel="0" collapsed="false">
      <c r="A191" s="17" t="s">
        <v>737</v>
      </c>
      <c r="B191" s="17" t="s">
        <v>349</v>
      </c>
      <c r="C191" s="17" t="s">
        <v>39</v>
      </c>
      <c r="D191" s="17" t="s">
        <v>738</v>
      </c>
      <c r="E191" s="17" t="s">
        <v>351</v>
      </c>
      <c r="F191" s="17" t="s">
        <v>513</v>
      </c>
      <c r="G191" s="17" t="s">
        <v>72</v>
      </c>
      <c r="H191" s="17" t="s">
        <v>73</v>
      </c>
      <c r="I191" s="17" t="s">
        <v>74</v>
      </c>
    </row>
    <row r="192" customFormat="false" ht="38" hidden="false" customHeight="true" outlineLevel="0" collapsed="false">
      <c r="A192" s="17" t="s">
        <v>739</v>
      </c>
      <c r="B192" s="17" t="s">
        <v>349</v>
      </c>
      <c r="C192" s="17" t="s">
        <v>39</v>
      </c>
      <c r="D192" s="17" t="s">
        <v>740</v>
      </c>
      <c r="E192" s="17" t="s">
        <v>351</v>
      </c>
      <c r="F192" s="17" t="s">
        <v>321</v>
      </c>
      <c r="G192" s="17" t="s">
        <v>72</v>
      </c>
      <c r="H192" s="17" t="s">
        <v>73</v>
      </c>
      <c r="I192" s="17" t="s">
        <v>74</v>
      </c>
    </row>
    <row r="193" customFormat="false" ht="38" hidden="false" customHeight="true" outlineLevel="0" collapsed="false">
      <c r="A193" s="17" t="s">
        <v>741</v>
      </c>
      <c r="B193" s="17" t="s">
        <v>349</v>
      </c>
      <c r="C193" s="17" t="s">
        <v>39</v>
      </c>
      <c r="D193" s="17" t="s">
        <v>742</v>
      </c>
      <c r="E193" s="17" t="s">
        <v>351</v>
      </c>
      <c r="F193" s="17" t="s">
        <v>392</v>
      </c>
      <c r="G193" s="17" t="s">
        <v>72</v>
      </c>
      <c r="H193" s="17" t="s">
        <v>73</v>
      </c>
      <c r="I193" s="17" t="s">
        <v>74</v>
      </c>
    </row>
    <row r="194" customFormat="false" ht="38" hidden="false" customHeight="true" outlineLevel="0" collapsed="false">
      <c r="A194" s="17" t="s">
        <v>743</v>
      </c>
      <c r="B194" s="17" t="s">
        <v>349</v>
      </c>
      <c r="C194" s="17" t="s">
        <v>39</v>
      </c>
      <c r="D194" s="17" t="s">
        <v>744</v>
      </c>
      <c r="E194" s="17" t="s">
        <v>351</v>
      </c>
      <c r="F194" s="17" t="s">
        <v>745</v>
      </c>
      <c r="G194" s="17" t="s">
        <v>72</v>
      </c>
      <c r="H194" s="17" t="s">
        <v>73</v>
      </c>
      <c r="I194" s="17" t="s">
        <v>74</v>
      </c>
    </row>
    <row r="195" customFormat="false" ht="38" hidden="false" customHeight="true" outlineLevel="0" collapsed="false">
      <c r="A195" s="17" t="s">
        <v>746</v>
      </c>
      <c r="B195" s="17" t="s">
        <v>349</v>
      </c>
      <c r="C195" s="17" t="s">
        <v>39</v>
      </c>
      <c r="D195" s="17" t="s">
        <v>747</v>
      </c>
      <c r="E195" s="17" t="s">
        <v>351</v>
      </c>
      <c r="F195" s="17" t="s">
        <v>748</v>
      </c>
      <c r="G195" s="17" t="s">
        <v>72</v>
      </c>
      <c r="H195" s="17" t="s">
        <v>73</v>
      </c>
      <c r="I195" s="17" t="s">
        <v>74</v>
      </c>
    </row>
    <row r="196" customFormat="false" ht="38" hidden="false" customHeight="true" outlineLevel="0" collapsed="false">
      <c r="A196" s="17" t="s">
        <v>749</v>
      </c>
      <c r="B196" s="17" t="s">
        <v>349</v>
      </c>
      <c r="C196" s="17" t="s">
        <v>39</v>
      </c>
      <c r="D196" s="17" t="s">
        <v>750</v>
      </c>
      <c r="E196" s="17" t="s">
        <v>351</v>
      </c>
      <c r="F196" s="17" t="s">
        <v>395</v>
      </c>
      <c r="G196" s="17" t="s">
        <v>72</v>
      </c>
      <c r="H196" s="17" t="s">
        <v>73</v>
      </c>
      <c r="I196" s="17" t="s">
        <v>74</v>
      </c>
    </row>
    <row r="197" customFormat="false" ht="38" hidden="false" customHeight="true" outlineLevel="0" collapsed="false">
      <c r="A197" s="17" t="s">
        <v>751</v>
      </c>
      <c r="B197" s="17" t="s">
        <v>349</v>
      </c>
      <c r="C197" s="17" t="s">
        <v>39</v>
      </c>
      <c r="D197" s="17" t="s">
        <v>752</v>
      </c>
      <c r="E197" s="17" t="s">
        <v>351</v>
      </c>
      <c r="F197" s="17" t="s">
        <v>398</v>
      </c>
      <c r="G197" s="17" t="s">
        <v>72</v>
      </c>
      <c r="H197" s="17" t="s">
        <v>73</v>
      </c>
      <c r="I197" s="17" t="s">
        <v>74</v>
      </c>
    </row>
    <row r="198" customFormat="false" ht="38" hidden="false" customHeight="true" outlineLevel="0" collapsed="false">
      <c r="A198" s="17" t="s">
        <v>753</v>
      </c>
      <c r="B198" s="17" t="s">
        <v>349</v>
      </c>
      <c r="C198" s="17" t="s">
        <v>39</v>
      </c>
      <c r="D198" s="17" t="s">
        <v>754</v>
      </c>
      <c r="E198" s="17" t="s">
        <v>351</v>
      </c>
      <c r="F198" s="17" t="s">
        <v>325</v>
      </c>
      <c r="G198" s="17" t="s">
        <v>72</v>
      </c>
      <c r="H198" s="17" t="s">
        <v>73</v>
      </c>
      <c r="I198" s="17" t="s">
        <v>74</v>
      </c>
    </row>
    <row r="199" customFormat="false" ht="38" hidden="false" customHeight="true" outlineLevel="0" collapsed="false">
      <c r="A199" s="17" t="s">
        <v>755</v>
      </c>
      <c r="B199" s="17" t="s">
        <v>756</v>
      </c>
      <c r="C199" s="17" t="s">
        <v>47</v>
      </c>
      <c r="D199" s="17" t="s">
        <v>757</v>
      </c>
      <c r="E199" s="17" t="s">
        <v>758</v>
      </c>
      <c r="F199" s="17" t="s">
        <v>758</v>
      </c>
      <c r="G199" s="17" t="s">
        <v>72</v>
      </c>
      <c r="H199" s="17" t="s">
        <v>73</v>
      </c>
      <c r="I199" s="17" t="s">
        <v>74</v>
      </c>
    </row>
    <row r="200" customFormat="false" ht="38" hidden="false" customHeight="true" outlineLevel="0" collapsed="false">
      <c r="A200" s="17" t="s">
        <v>759</v>
      </c>
      <c r="B200" s="17" t="s">
        <v>760</v>
      </c>
      <c r="C200" s="17" t="s">
        <v>47</v>
      </c>
      <c r="D200" s="17" t="s">
        <v>761</v>
      </c>
      <c r="E200" s="17" t="s">
        <v>762</v>
      </c>
      <c r="F200" s="17" t="s">
        <v>762</v>
      </c>
      <c r="G200" s="17" t="s">
        <v>72</v>
      </c>
      <c r="H200" s="17" t="s">
        <v>73</v>
      </c>
      <c r="I200" s="17" t="s">
        <v>74</v>
      </c>
    </row>
    <row r="201" customFormat="false" ht="38" hidden="false" customHeight="true" outlineLevel="0" collapsed="false">
      <c r="A201" s="17" t="s">
        <v>764</v>
      </c>
      <c r="B201" s="17" t="s">
        <v>765</v>
      </c>
      <c r="C201" s="17" t="s">
        <v>47</v>
      </c>
      <c r="D201" s="17" t="s">
        <v>766</v>
      </c>
      <c r="E201" s="17" t="s">
        <v>767</v>
      </c>
      <c r="F201" s="17" t="s">
        <v>767</v>
      </c>
      <c r="G201" s="17" t="s">
        <v>72</v>
      </c>
      <c r="H201" s="17" t="s">
        <v>73</v>
      </c>
      <c r="I201" s="17" t="s">
        <v>74</v>
      </c>
    </row>
    <row r="202" customFormat="false" ht="38" hidden="false" customHeight="true" outlineLevel="0" collapsed="false">
      <c r="A202" s="17" t="s">
        <v>769</v>
      </c>
      <c r="B202" s="17" t="s">
        <v>770</v>
      </c>
      <c r="C202" s="17" t="s">
        <v>47</v>
      </c>
      <c r="D202" s="17" t="s">
        <v>771</v>
      </c>
      <c r="E202" s="17" t="s">
        <v>164</v>
      </c>
      <c r="F202" s="17" t="s">
        <v>164</v>
      </c>
      <c r="G202" s="17" t="s">
        <v>72</v>
      </c>
      <c r="H202" s="17" t="s">
        <v>73</v>
      </c>
      <c r="I202" s="17" t="s">
        <v>74</v>
      </c>
    </row>
    <row r="203" customFormat="false" ht="38" hidden="false" customHeight="true" outlineLevel="0" collapsed="false">
      <c r="A203" s="17" t="s">
        <v>772</v>
      </c>
      <c r="B203" s="17" t="s">
        <v>773</v>
      </c>
      <c r="C203" s="17" t="s">
        <v>47</v>
      </c>
      <c r="D203" s="17" t="s">
        <v>774</v>
      </c>
      <c r="E203" s="17" t="s">
        <v>775</v>
      </c>
      <c r="F203" s="17" t="s">
        <v>775</v>
      </c>
      <c r="G203" s="17" t="s">
        <v>72</v>
      </c>
      <c r="H203" s="17" t="s">
        <v>73</v>
      </c>
      <c r="I203" s="17" t="s">
        <v>74</v>
      </c>
    </row>
    <row r="204" customFormat="false" ht="38" hidden="false" customHeight="true" outlineLevel="0" collapsed="false">
      <c r="A204" s="17" t="s">
        <v>777</v>
      </c>
      <c r="B204" s="17" t="s">
        <v>778</v>
      </c>
      <c r="C204" s="17" t="s">
        <v>47</v>
      </c>
      <c r="D204" s="17" t="s">
        <v>779</v>
      </c>
      <c r="E204" s="17" t="s">
        <v>780</v>
      </c>
      <c r="F204" s="17" t="s">
        <v>780</v>
      </c>
      <c r="G204" s="17" t="s">
        <v>72</v>
      </c>
      <c r="H204" s="17" t="s">
        <v>73</v>
      </c>
      <c r="I204" s="17" t="s">
        <v>74</v>
      </c>
    </row>
    <row r="205" customFormat="false" ht="38" hidden="false" customHeight="true" outlineLevel="0" collapsed="false">
      <c r="A205" s="17" t="s">
        <v>782</v>
      </c>
      <c r="B205" s="17" t="s">
        <v>783</v>
      </c>
      <c r="C205" s="17" t="s">
        <v>47</v>
      </c>
      <c r="D205" s="17" t="s">
        <v>784</v>
      </c>
      <c r="E205" s="17" t="s">
        <v>130</v>
      </c>
      <c r="F205" s="17" t="s">
        <v>130</v>
      </c>
      <c r="G205" s="17" t="s">
        <v>72</v>
      </c>
      <c r="H205" s="17" t="s">
        <v>73</v>
      </c>
      <c r="I205" s="17" t="s">
        <v>74</v>
      </c>
    </row>
    <row r="206" customFormat="false" ht="38" hidden="false" customHeight="true" outlineLevel="0" collapsed="false">
      <c r="A206" s="17" t="s">
        <v>786</v>
      </c>
      <c r="B206" s="17" t="s">
        <v>787</v>
      </c>
      <c r="C206" s="17" t="s">
        <v>47</v>
      </c>
      <c r="D206" s="17" t="s">
        <v>788</v>
      </c>
      <c r="E206" s="17" t="s">
        <v>130</v>
      </c>
      <c r="F206" s="17" t="s">
        <v>130</v>
      </c>
      <c r="G206" s="17" t="s">
        <v>72</v>
      </c>
      <c r="H206" s="17" t="s">
        <v>105</v>
      </c>
      <c r="I206" s="17" t="s">
        <v>74</v>
      </c>
    </row>
    <row r="207" customFormat="false" ht="38" hidden="false" customHeight="true" outlineLevel="0" collapsed="false">
      <c r="A207" s="17" t="s">
        <v>790</v>
      </c>
      <c r="B207" s="17" t="s">
        <v>791</v>
      </c>
      <c r="C207" s="17" t="s">
        <v>47</v>
      </c>
      <c r="D207" s="17" t="s">
        <v>792</v>
      </c>
      <c r="E207" s="17" t="s">
        <v>762</v>
      </c>
      <c r="F207" s="17" t="s">
        <v>762</v>
      </c>
      <c r="G207" s="17" t="s">
        <v>72</v>
      </c>
      <c r="H207" s="17" t="s">
        <v>105</v>
      </c>
      <c r="I207" s="17" t="s">
        <v>74</v>
      </c>
    </row>
    <row r="208" customFormat="false" ht="38" hidden="false" customHeight="true" outlineLevel="0" collapsed="false">
      <c r="A208" s="17" t="s">
        <v>793</v>
      </c>
      <c r="B208" s="17" t="s">
        <v>794</v>
      </c>
      <c r="C208" s="17" t="s">
        <v>50</v>
      </c>
      <c r="D208" s="17" t="s">
        <v>795</v>
      </c>
      <c r="E208" s="17" t="s">
        <v>164</v>
      </c>
      <c r="F208" s="17" t="s">
        <v>164</v>
      </c>
      <c r="G208" s="17" t="s">
        <v>72</v>
      </c>
      <c r="H208" s="17" t="s">
        <v>73</v>
      </c>
      <c r="I208" s="17" t="s">
        <v>74</v>
      </c>
    </row>
    <row r="209" customFormat="false" ht="38" hidden="false" customHeight="true" outlineLevel="0" collapsed="false">
      <c r="A209" s="17" t="s">
        <v>797</v>
      </c>
      <c r="B209" s="17" t="s">
        <v>798</v>
      </c>
      <c r="C209" s="17" t="s">
        <v>50</v>
      </c>
      <c r="D209" s="17" t="s">
        <v>799</v>
      </c>
      <c r="E209" s="17" t="s">
        <v>85</v>
      </c>
      <c r="F209" s="17" t="s">
        <v>195</v>
      </c>
      <c r="G209" s="17" t="s">
        <v>72</v>
      </c>
      <c r="H209" s="17" t="s">
        <v>73</v>
      </c>
      <c r="I209" s="17" t="s">
        <v>74</v>
      </c>
    </row>
    <row r="210" customFormat="false" ht="38" hidden="false" customHeight="true" outlineLevel="0" collapsed="false">
      <c r="A210" s="17" t="s">
        <v>800</v>
      </c>
      <c r="B210" s="17" t="s">
        <v>801</v>
      </c>
      <c r="C210" s="17" t="s">
        <v>48</v>
      </c>
      <c r="D210" s="17" t="s">
        <v>802</v>
      </c>
      <c r="E210" s="17" t="s">
        <v>803</v>
      </c>
      <c r="F210" s="17" t="s">
        <v>803</v>
      </c>
      <c r="G210" s="17" t="s">
        <v>72</v>
      </c>
      <c r="H210" s="17" t="s">
        <v>73</v>
      </c>
      <c r="I210" s="17" t="s">
        <v>74</v>
      </c>
    </row>
    <row r="211" customFormat="false" ht="38" hidden="false" customHeight="true" outlineLevel="0" collapsed="false">
      <c r="A211" s="17" t="s">
        <v>804</v>
      </c>
      <c r="B211" s="17" t="s">
        <v>805</v>
      </c>
      <c r="C211" s="17" t="s">
        <v>48</v>
      </c>
      <c r="D211" s="17" t="s">
        <v>806</v>
      </c>
      <c r="E211" s="17" t="s">
        <v>803</v>
      </c>
      <c r="F211" s="17" t="s">
        <v>803</v>
      </c>
      <c r="G211" s="17" t="s">
        <v>72</v>
      </c>
      <c r="H211" s="17" t="s">
        <v>73</v>
      </c>
      <c r="I211" s="17" t="s">
        <v>74</v>
      </c>
    </row>
    <row r="212" customFormat="false" ht="38" hidden="false" customHeight="true" outlineLevel="0" collapsed="false">
      <c r="A212" s="17" t="s">
        <v>807</v>
      </c>
      <c r="B212" s="17" t="s">
        <v>808</v>
      </c>
      <c r="C212" s="17" t="s">
        <v>48</v>
      </c>
      <c r="D212" s="17" t="s">
        <v>809</v>
      </c>
      <c r="E212" s="17" t="s">
        <v>810</v>
      </c>
      <c r="F212" s="17" t="s">
        <v>70</v>
      </c>
      <c r="G212" s="17" t="s">
        <v>72</v>
      </c>
      <c r="H212" s="17" t="s">
        <v>73</v>
      </c>
      <c r="I212" s="17" t="s">
        <v>74</v>
      </c>
    </row>
    <row r="213" customFormat="false" ht="38" hidden="false" customHeight="true" outlineLevel="0" collapsed="false">
      <c r="A213" s="17" t="s">
        <v>811</v>
      </c>
      <c r="B213" s="17" t="s">
        <v>812</v>
      </c>
      <c r="C213" s="17" t="s">
        <v>48</v>
      </c>
      <c r="D213" s="17" t="s">
        <v>813</v>
      </c>
      <c r="E213" s="17" t="s">
        <v>814</v>
      </c>
      <c r="F213" s="17" t="s">
        <v>814</v>
      </c>
      <c r="G213" s="17" t="s">
        <v>72</v>
      </c>
      <c r="H213" s="17" t="s">
        <v>73</v>
      </c>
      <c r="I213" s="17" t="s">
        <v>74</v>
      </c>
    </row>
    <row r="214" customFormat="false" ht="38" hidden="false" customHeight="true" outlineLevel="0" collapsed="false">
      <c r="A214" s="17" t="s">
        <v>815</v>
      </c>
      <c r="B214" s="17" t="s">
        <v>816</v>
      </c>
      <c r="C214" s="17" t="s">
        <v>48</v>
      </c>
      <c r="D214" s="17" t="s">
        <v>817</v>
      </c>
      <c r="E214" s="17" t="s">
        <v>164</v>
      </c>
      <c r="F214" s="17" t="s">
        <v>164</v>
      </c>
      <c r="G214" s="17" t="s">
        <v>72</v>
      </c>
      <c r="H214" s="17" t="s">
        <v>105</v>
      </c>
      <c r="I214" s="17" t="s">
        <v>74</v>
      </c>
    </row>
    <row r="215" customFormat="false" ht="38" hidden="false" customHeight="true" outlineLevel="0" collapsed="false">
      <c r="A215" s="17" t="s">
        <v>818</v>
      </c>
      <c r="B215" s="17" t="s">
        <v>819</v>
      </c>
      <c r="C215" s="17" t="s">
        <v>48</v>
      </c>
      <c r="D215" s="17" t="s">
        <v>820</v>
      </c>
      <c r="E215" s="17" t="s">
        <v>821</v>
      </c>
      <c r="F215" s="17" t="s">
        <v>821</v>
      </c>
      <c r="G215" s="17" t="s">
        <v>72</v>
      </c>
      <c r="H215" s="17" t="s">
        <v>73</v>
      </c>
      <c r="I215" s="17" t="s">
        <v>74</v>
      </c>
    </row>
    <row r="216" customFormat="false" ht="38" hidden="false" customHeight="true" outlineLevel="0" collapsed="false">
      <c r="A216" s="17" t="s">
        <v>822</v>
      </c>
      <c r="B216" s="17" t="s">
        <v>823</v>
      </c>
      <c r="C216" s="17" t="s">
        <v>48</v>
      </c>
      <c r="D216" s="17" t="s">
        <v>824</v>
      </c>
      <c r="E216" s="17" t="s">
        <v>825</v>
      </c>
      <c r="F216" s="17" t="s">
        <v>825</v>
      </c>
      <c r="G216" s="17" t="s">
        <v>72</v>
      </c>
      <c r="H216" s="17" t="s">
        <v>105</v>
      </c>
      <c r="I216" s="17" t="s">
        <v>74</v>
      </c>
    </row>
    <row r="217" customFormat="false" ht="38" hidden="false" customHeight="true" outlineLevel="0" collapsed="false">
      <c r="A217" s="17" t="s">
        <v>826</v>
      </c>
      <c r="B217" s="17" t="s">
        <v>827</v>
      </c>
      <c r="C217" s="17" t="s">
        <v>48</v>
      </c>
      <c r="D217" s="17" t="s">
        <v>828</v>
      </c>
      <c r="E217" s="17" t="s">
        <v>104</v>
      </c>
      <c r="F217" s="17" t="s">
        <v>104</v>
      </c>
      <c r="G217" s="17" t="s">
        <v>72</v>
      </c>
      <c r="H217" s="17" t="s">
        <v>105</v>
      </c>
      <c r="I217" s="17" t="s">
        <v>74</v>
      </c>
    </row>
  </sheetData>
  <mergeCells count="2">
    <mergeCell ref="A1:I1"/>
    <mergeCell ref="A2:I2"/>
  </mergeCells>
  <conditionalFormatting sqref="I6:I217">
    <cfRule type="containsText" priority="2" operator="containsText" aboveAverage="0" equalAverage="0" bottom="0" percent="0" rank="0" text="PASS" dxfId="34">
      <formula>NOT(ISERROR(SEARCH("PASS",I6)))</formula>
    </cfRule>
    <cfRule type="containsText" priority="3" operator="containsText" aboveAverage="0" equalAverage="0" bottom="0" percent="0" rank="0" text="APPROVED" dxfId="35">
      <formula>NOT(ISERROR(SEARCH("APPROVED",I6)))</formula>
    </cfRule>
    <cfRule type="containsText" priority="4" operator="containsText" aboveAverage="0" equalAverage="0" bottom="0" percent="0" rank="0" text="FAIL" dxfId="36">
      <formula>NOT(ISERROR(SEARCH("FAIL",I6)))</formula>
    </cfRule>
    <cfRule type="containsText" priority="5" operator="containsText" aboveAverage="0" equalAverage="0" bottom="0" percent="0" rank="0" text="BLOCKED" dxfId="37">
      <formula>NOT(ISERROR(SEARCH("BLOCKED",I6)))</formula>
    </cfRule>
    <cfRule type="containsText" priority="6" operator="containsText" aboveAverage="0" equalAverage="0" bottom="0" percent="0" rank="0" text="OPEN" dxfId="38">
      <formula>NOT(ISERROR(SEARCH("OPEN",I6)))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3"/>
    <col collapsed="false" customWidth="true" hidden="false" outlineLevel="0" max="4" min="4" style="0" width="42"/>
    <col collapsed="false" customWidth="true" hidden="false" outlineLevel="0" max="6" min="5" style="0" width="30"/>
    <col collapsed="false" customWidth="true" hidden="false" outlineLevel="0" max="7" min="7" style="0" width="26"/>
    <col collapsed="false" customWidth="true" hidden="false" outlineLevel="0" max="9" min="8" style="0" width="12"/>
  </cols>
  <sheetData>
    <row r="1" customFormat="false" ht="32" hidden="false" customHeight="true" outlineLevel="0" collapsed="false">
      <c r="A1" s="1" t="s">
        <v>998</v>
      </c>
      <c r="B1" s="1"/>
      <c r="C1" s="1"/>
      <c r="D1" s="1"/>
      <c r="E1" s="1"/>
      <c r="F1" s="1"/>
      <c r="G1" s="1"/>
      <c r="H1" s="1"/>
      <c r="I1" s="1"/>
    </row>
    <row r="2" customFormat="false" ht="28" hidden="false" customHeight="true" outlineLevel="0" collapsed="false">
      <c r="A2" s="2" t="s">
        <v>999</v>
      </c>
      <c r="B2" s="2"/>
      <c r="C2" s="2"/>
      <c r="D2" s="2"/>
      <c r="E2" s="2"/>
      <c r="F2" s="2"/>
      <c r="G2" s="2"/>
      <c r="H2" s="2"/>
      <c r="I2" s="2"/>
    </row>
    <row r="5" customFormat="false" ht="30" hidden="false" customHeight="true" outlineLevel="0" collapsed="false">
      <c r="A5" s="12" t="s">
        <v>55</v>
      </c>
      <c r="B5" s="13" t="s">
        <v>991</v>
      </c>
      <c r="C5" s="13" t="s">
        <v>58</v>
      </c>
      <c r="D5" s="13" t="s">
        <v>992</v>
      </c>
      <c r="E5" s="13" t="s">
        <v>993</v>
      </c>
      <c r="F5" s="13" t="s">
        <v>994</v>
      </c>
      <c r="G5" s="13" t="s">
        <v>995</v>
      </c>
      <c r="H5" s="13" t="s">
        <v>63</v>
      </c>
      <c r="I5" s="14" t="s">
        <v>64</v>
      </c>
    </row>
    <row r="6" customFormat="false" ht="38" hidden="false" customHeight="true" outlineLevel="0" collapsed="false">
      <c r="A6" s="15" t="s">
        <v>842</v>
      </c>
      <c r="B6" s="15" t="s">
        <v>843</v>
      </c>
      <c r="C6" s="15" t="s">
        <v>44</v>
      </c>
      <c r="D6" s="15" t="s">
        <v>844</v>
      </c>
      <c r="E6" s="15" t="s">
        <v>845</v>
      </c>
      <c r="F6" s="15" t="s">
        <v>846</v>
      </c>
      <c r="G6" s="15" t="s">
        <v>847</v>
      </c>
      <c r="H6" s="15" t="s">
        <v>105</v>
      </c>
      <c r="I6" s="15" t="s">
        <v>74</v>
      </c>
    </row>
    <row r="7" customFormat="false" ht="38" hidden="false" customHeight="true" outlineLevel="0" collapsed="false">
      <c r="A7" s="17" t="s">
        <v>848</v>
      </c>
      <c r="B7" s="17" t="s">
        <v>843</v>
      </c>
      <c r="C7" s="17" t="s">
        <v>44</v>
      </c>
      <c r="D7" s="17" t="s">
        <v>849</v>
      </c>
      <c r="E7" s="17" t="s">
        <v>850</v>
      </c>
      <c r="F7" s="17" t="s">
        <v>851</v>
      </c>
      <c r="G7" s="17" t="s">
        <v>847</v>
      </c>
      <c r="H7" s="17" t="s">
        <v>105</v>
      </c>
      <c r="I7" s="17" t="s">
        <v>74</v>
      </c>
    </row>
    <row r="8" customFormat="false" ht="38" hidden="false" customHeight="true" outlineLevel="0" collapsed="false">
      <c r="A8" s="17" t="s">
        <v>852</v>
      </c>
      <c r="B8" s="17" t="s">
        <v>843</v>
      </c>
      <c r="C8" s="17" t="s">
        <v>44</v>
      </c>
      <c r="D8" s="17" t="s">
        <v>853</v>
      </c>
      <c r="E8" s="17" t="s">
        <v>854</v>
      </c>
      <c r="F8" s="17" t="s">
        <v>855</v>
      </c>
      <c r="G8" s="17" t="s">
        <v>847</v>
      </c>
      <c r="H8" s="17" t="s">
        <v>105</v>
      </c>
      <c r="I8" s="17" t="s">
        <v>74</v>
      </c>
    </row>
    <row r="9" customFormat="false" ht="38" hidden="false" customHeight="true" outlineLevel="0" collapsed="false">
      <c r="A9" s="17" t="s">
        <v>856</v>
      </c>
      <c r="B9" s="17" t="s">
        <v>843</v>
      </c>
      <c r="C9" s="17" t="s">
        <v>44</v>
      </c>
      <c r="D9" s="17" t="s">
        <v>857</v>
      </c>
      <c r="E9" s="17" t="s">
        <v>858</v>
      </c>
      <c r="F9" s="17" t="s">
        <v>855</v>
      </c>
      <c r="G9" s="17" t="s">
        <v>847</v>
      </c>
      <c r="H9" s="17" t="s">
        <v>105</v>
      </c>
      <c r="I9" s="17" t="s">
        <v>74</v>
      </c>
    </row>
    <row r="10" customFormat="false" ht="38" hidden="false" customHeight="true" outlineLevel="0" collapsed="false">
      <c r="A10" s="17" t="s">
        <v>859</v>
      </c>
      <c r="B10" s="17" t="s">
        <v>843</v>
      </c>
      <c r="C10" s="17" t="s">
        <v>44</v>
      </c>
      <c r="D10" s="17" t="s">
        <v>860</v>
      </c>
      <c r="E10" s="17" t="s">
        <v>861</v>
      </c>
      <c r="F10" s="17" t="s">
        <v>855</v>
      </c>
      <c r="G10" s="17" t="s">
        <v>847</v>
      </c>
      <c r="H10" s="17" t="s">
        <v>105</v>
      </c>
      <c r="I10" s="17" t="s">
        <v>74</v>
      </c>
    </row>
    <row r="11" customFormat="false" ht="38" hidden="false" customHeight="true" outlineLevel="0" collapsed="false">
      <c r="A11" s="17" t="s">
        <v>862</v>
      </c>
      <c r="B11" s="17" t="s">
        <v>843</v>
      </c>
      <c r="C11" s="17" t="s">
        <v>44</v>
      </c>
      <c r="D11" s="17" t="s">
        <v>863</v>
      </c>
      <c r="E11" s="17" t="s">
        <v>864</v>
      </c>
      <c r="F11" s="17" t="s">
        <v>855</v>
      </c>
      <c r="G11" s="17" t="s">
        <v>847</v>
      </c>
      <c r="H11" s="17" t="s">
        <v>105</v>
      </c>
      <c r="I11" s="17" t="s">
        <v>74</v>
      </c>
    </row>
    <row r="12" customFormat="false" ht="38" hidden="false" customHeight="true" outlineLevel="0" collapsed="false">
      <c r="A12" s="17" t="s">
        <v>865</v>
      </c>
      <c r="B12" s="17" t="s">
        <v>843</v>
      </c>
      <c r="C12" s="17" t="s">
        <v>44</v>
      </c>
      <c r="D12" s="17" t="s">
        <v>866</v>
      </c>
      <c r="E12" s="17" t="s">
        <v>867</v>
      </c>
      <c r="F12" s="17" t="s">
        <v>868</v>
      </c>
      <c r="G12" s="17" t="s">
        <v>847</v>
      </c>
      <c r="H12" s="17" t="s">
        <v>105</v>
      </c>
      <c r="I12" s="17" t="s">
        <v>74</v>
      </c>
    </row>
    <row r="13" customFormat="false" ht="38" hidden="false" customHeight="true" outlineLevel="0" collapsed="false">
      <c r="A13" s="17" t="s">
        <v>869</v>
      </c>
      <c r="B13" s="17" t="s">
        <v>843</v>
      </c>
      <c r="C13" s="17" t="s">
        <v>44</v>
      </c>
      <c r="D13" s="17" t="s">
        <v>870</v>
      </c>
      <c r="E13" s="17" t="s">
        <v>871</v>
      </c>
      <c r="F13" s="17" t="s">
        <v>868</v>
      </c>
      <c r="G13" s="17" t="s">
        <v>847</v>
      </c>
      <c r="H13" s="17" t="s">
        <v>105</v>
      </c>
      <c r="I13" s="17" t="s">
        <v>74</v>
      </c>
    </row>
    <row r="14" customFormat="false" ht="38" hidden="false" customHeight="true" outlineLevel="0" collapsed="false">
      <c r="A14" s="17" t="s">
        <v>872</v>
      </c>
      <c r="B14" s="17" t="s">
        <v>843</v>
      </c>
      <c r="C14" s="17" t="s">
        <v>44</v>
      </c>
      <c r="D14" s="17" t="s">
        <v>873</v>
      </c>
      <c r="E14" s="17" t="s">
        <v>874</v>
      </c>
      <c r="F14" s="17" t="s">
        <v>868</v>
      </c>
      <c r="G14" s="17" t="s">
        <v>847</v>
      </c>
      <c r="H14" s="17" t="s">
        <v>105</v>
      </c>
      <c r="I14" s="17" t="s">
        <v>74</v>
      </c>
    </row>
    <row r="15" customFormat="false" ht="38" hidden="false" customHeight="true" outlineLevel="0" collapsed="false">
      <c r="A15" s="17" t="s">
        <v>875</v>
      </c>
      <c r="B15" s="17" t="s">
        <v>843</v>
      </c>
      <c r="C15" s="17" t="s">
        <v>44</v>
      </c>
      <c r="D15" s="17" t="s">
        <v>876</v>
      </c>
      <c r="E15" s="17" t="s">
        <v>877</v>
      </c>
      <c r="F15" s="17" t="s">
        <v>868</v>
      </c>
      <c r="G15" s="17" t="s">
        <v>847</v>
      </c>
      <c r="H15" s="17" t="s">
        <v>105</v>
      </c>
      <c r="I15" s="17" t="s">
        <v>74</v>
      </c>
    </row>
    <row r="16" customFormat="false" ht="38" hidden="false" customHeight="true" outlineLevel="0" collapsed="false">
      <c r="A16" s="17" t="s">
        <v>878</v>
      </c>
      <c r="B16" s="17" t="s">
        <v>843</v>
      </c>
      <c r="C16" s="17" t="s">
        <v>44</v>
      </c>
      <c r="D16" s="17" t="s">
        <v>879</v>
      </c>
      <c r="E16" s="17" t="s">
        <v>880</v>
      </c>
      <c r="F16" s="17" t="s">
        <v>881</v>
      </c>
      <c r="G16" s="17" t="s">
        <v>847</v>
      </c>
      <c r="H16" s="17" t="s">
        <v>105</v>
      </c>
      <c r="I16" s="17" t="s">
        <v>74</v>
      </c>
    </row>
    <row r="17" customFormat="false" ht="38" hidden="false" customHeight="true" outlineLevel="0" collapsed="false">
      <c r="A17" s="17" t="s">
        <v>882</v>
      </c>
      <c r="B17" s="17" t="s">
        <v>843</v>
      </c>
      <c r="C17" s="17" t="s">
        <v>44</v>
      </c>
      <c r="D17" s="17" t="s">
        <v>883</v>
      </c>
      <c r="E17" s="17" t="s">
        <v>884</v>
      </c>
      <c r="F17" s="17" t="s">
        <v>885</v>
      </c>
      <c r="G17" s="17" t="s">
        <v>847</v>
      </c>
      <c r="H17" s="17" t="s">
        <v>105</v>
      </c>
      <c r="I17" s="17" t="s">
        <v>74</v>
      </c>
    </row>
    <row r="18" customFormat="false" ht="38" hidden="false" customHeight="true" outlineLevel="0" collapsed="false">
      <c r="A18" s="17" t="s">
        <v>886</v>
      </c>
      <c r="B18" s="17" t="s">
        <v>843</v>
      </c>
      <c r="C18" s="17" t="s">
        <v>44</v>
      </c>
      <c r="D18" s="17" t="s">
        <v>887</v>
      </c>
      <c r="E18" s="17" t="s">
        <v>888</v>
      </c>
      <c r="F18" s="17" t="s">
        <v>889</v>
      </c>
      <c r="G18" s="17" t="s">
        <v>847</v>
      </c>
      <c r="H18" s="17" t="s">
        <v>105</v>
      </c>
      <c r="I18" s="17" t="s">
        <v>74</v>
      </c>
    </row>
    <row r="19" customFormat="false" ht="38" hidden="false" customHeight="true" outlineLevel="0" collapsed="false">
      <c r="A19" s="17" t="s">
        <v>890</v>
      </c>
      <c r="B19" s="17" t="s">
        <v>843</v>
      </c>
      <c r="C19" s="17" t="s">
        <v>44</v>
      </c>
      <c r="D19" s="17" t="s">
        <v>891</v>
      </c>
      <c r="E19" s="17" t="s">
        <v>892</v>
      </c>
      <c r="F19" s="17" t="s">
        <v>893</v>
      </c>
      <c r="G19" s="17" t="s">
        <v>847</v>
      </c>
      <c r="H19" s="17" t="s">
        <v>105</v>
      </c>
      <c r="I19" s="17" t="s">
        <v>74</v>
      </c>
    </row>
    <row r="20" customFormat="false" ht="38" hidden="false" customHeight="true" outlineLevel="0" collapsed="false">
      <c r="A20" s="17" t="s">
        <v>894</v>
      </c>
      <c r="B20" s="17" t="s">
        <v>843</v>
      </c>
      <c r="C20" s="17" t="s">
        <v>44</v>
      </c>
      <c r="D20" s="17" t="s">
        <v>895</v>
      </c>
      <c r="E20" s="17" t="s">
        <v>896</v>
      </c>
      <c r="F20" s="17" t="s">
        <v>897</v>
      </c>
      <c r="G20" s="17" t="s">
        <v>847</v>
      </c>
      <c r="H20" s="17" t="s">
        <v>105</v>
      </c>
      <c r="I20" s="17" t="s">
        <v>74</v>
      </c>
    </row>
    <row r="21" customFormat="false" ht="38" hidden="false" customHeight="true" outlineLevel="0" collapsed="false">
      <c r="A21" s="17" t="s">
        <v>898</v>
      </c>
      <c r="B21" s="17" t="s">
        <v>843</v>
      </c>
      <c r="C21" s="17" t="s">
        <v>44</v>
      </c>
      <c r="D21" s="17" t="s">
        <v>899</v>
      </c>
      <c r="E21" s="17" t="s">
        <v>900</v>
      </c>
      <c r="F21" s="17" t="s">
        <v>901</v>
      </c>
      <c r="G21" s="17" t="s">
        <v>847</v>
      </c>
      <c r="H21" s="17" t="s">
        <v>105</v>
      </c>
      <c r="I21" s="17" t="s">
        <v>74</v>
      </c>
    </row>
    <row r="22" customFormat="false" ht="38" hidden="false" customHeight="true" outlineLevel="0" collapsed="false">
      <c r="A22" s="17" t="s">
        <v>902</v>
      </c>
      <c r="B22" s="17" t="s">
        <v>843</v>
      </c>
      <c r="C22" s="17" t="s">
        <v>44</v>
      </c>
      <c r="D22" s="17" t="s">
        <v>903</v>
      </c>
      <c r="E22" s="17" t="s">
        <v>904</v>
      </c>
      <c r="F22" s="17" t="s">
        <v>905</v>
      </c>
      <c r="G22" s="17" t="s">
        <v>847</v>
      </c>
      <c r="H22" s="17" t="s">
        <v>105</v>
      </c>
      <c r="I22" s="17" t="s">
        <v>74</v>
      </c>
    </row>
    <row r="23" customFormat="false" ht="38" hidden="false" customHeight="true" outlineLevel="0" collapsed="false">
      <c r="A23" s="17" t="s">
        <v>906</v>
      </c>
      <c r="B23" s="17" t="s">
        <v>843</v>
      </c>
      <c r="C23" s="17" t="s">
        <v>44</v>
      </c>
      <c r="D23" s="17" t="s">
        <v>907</v>
      </c>
      <c r="E23" s="17" t="s">
        <v>908</v>
      </c>
      <c r="F23" s="17" t="s">
        <v>909</v>
      </c>
      <c r="G23" s="17" t="s">
        <v>847</v>
      </c>
      <c r="H23" s="17" t="s">
        <v>105</v>
      </c>
      <c r="I23" s="17" t="s">
        <v>74</v>
      </c>
    </row>
    <row r="24" customFormat="false" ht="38" hidden="false" customHeight="true" outlineLevel="0" collapsed="false">
      <c r="A24" s="17" t="s">
        <v>910</v>
      </c>
      <c r="B24" s="17" t="s">
        <v>843</v>
      </c>
      <c r="C24" s="17" t="s">
        <v>44</v>
      </c>
      <c r="D24" s="17" t="s">
        <v>911</v>
      </c>
      <c r="E24" s="17" t="s">
        <v>912</v>
      </c>
      <c r="F24" s="17" t="s">
        <v>913</v>
      </c>
      <c r="G24" s="17" t="s">
        <v>847</v>
      </c>
      <c r="H24" s="17" t="s">
        <v>105</v>
      </c>
      <c r="I24" s="17" t="s">
        <v>74</v>
      </c>
    </row>
    <row r="25" customFormat="false" ht="38" hidden="false" customHeight="true" outlineLevel="0" collapsed="false">
      <c r="A25" s="17" t="s">
        <v>914</v>
      </c>
      <c r="B25" s="17" t="s">
        <v>843</v>
      </c>
      <c r="C25" s="17" t="s">
        <v>44</v>
      </c>
      <c r="D25" s="17" t="s">
        <v>915</v>
      </c>
      <c r="E25" s="17" t="s">
        <v>916</v>
      </c>
      <c r="F25" s="17" t="s">
        <v>917</v>
      </c>
      <c r="G25" s="17" t="s">
        <v>847</v>
      </c>
      <c r="H25" s="17" t="s">
        <v>105</v>
      </c>
      <c r="I25" s="17" t="s">
        <v>74</v>
      </c>
    </row>
  </sheetData>
  <mergeCells count="2">
    <mergeCell ref="A1:I1"/>
    <mergeCell ref="A2:I2"/>
  </mergeCells>
  <conditionalFormatting sqref="I6:I25">
    <cfRule type="containsText" priority="2" operator="containsText" aboveAverage="0" equalAverage="0" bottom="0" percent="0" rank="0" text="PASS" dxfId="39">
      <formula>NOT(ISERROR(SEARCH("PASS",I6)))</formula>
    </cfRule>
    <cfRule type="containsText" priority="3" operator="containsText" aboveAverage="0" equalAverage="0" bottom="0" percent="0" rank="0" text="APPROVED" dxfId="40">
      <formula>NOT(ISERROR(SEARCH("APPROVED",I6)))</formula>
    </cfRule>
    <cfRule type="containsText" priority="4" operator="containsText" aboveAverage="0" equalAverage="0" bottom="0" percent="0" rank="0" text="FAIL" dxfId="41">
      <formula>NOT(ISERROR(SEARCH("FAIL",I6)))</formula>
    </cfRule>
    <cfRule type="containsText" priority="5" operator="containsText" aboveAverage="0" equalAverage="0" bottom="0" percent="0" rank="0" text="BLOCKED" dxfId="42">
      <formula>NOT(ISERROR(SEARCH("BLOCKED",I6)))</formula>
    </cfRule>
    <cfRule type="containsText" priority="6" operator="containsText" aboveAverage="0" equalAverage="0" bottom="0" percent="0" rank="0" text="OPEN" dxfId="43">
      <formula>NOT(ISERROR(SEARCH("OPEN",I6)))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8" min="7" style="0" width="45"/>
  </cols>
  <sheetData>
    <row r="1" customFormat="false" ht="32" hidden="false" customHeight="true" outlineLevel="0" collapsed="false">
      <c r="A1" s="1" t="s">
        <v>1000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1001</v>
      </c>
      <c r="B2" s="2"/>
      <c r="C2" s="2"/>
      <c r="D2" s="2"/>
      <c r="E2" s="2"/>
      <c r="F2" s="2"/>
      <c r="G2" s="2"/>
      <c r="H2" s="2"/>
    </row>
    <row r="5" customFormat="false" ht="30" hidden="false" customHeight="true" outlineLevel="0" collapsed="false">
      <c r="A5" s="12" t="s">
        <v>1002</v>
      </c>
      <c r="B5" s="13" t="s">
        <v>1003</v>
      </c>
      <c r="C5" s="13" t="s">
        <v>1004</v>
      </c>
      <c r="D5" s="13" t="s">
        <v>1005</v>
      </c>
      <c r="E5" s="13" t="s">
        <v>1006</v>
      </c>
      <c r="F5" s="13" t="s">
        <v>64</v>
      </c>
      <c r="G5" s="13" t="s">
        <v>1007</v>
      </c>
      <c r="H5" s="14" t="s">
        <v>1008</v>
      </c>
    </row>
    <row r="6" customFormat="false" ht="15" hidden="false" customHeight="false" outlineLevel="0" collapsed="false">
      <c r="A6" s="15" t="s">
        <v>1009</v>
      </c>
      <c r="B6" s="15" t="n">
        <v>1120</v>
      </c>
      <c r="C6" s="15" t="n">
        <v>1120</v>
      </c>
      <c r="D6" s="19" t="n">
        <v>1</v>
      </c>
      <c r="E6" s="20" t="n">
        <v>1.4210854715202E-014</v>
      </c>
      <c r="F6" s="15" t="s">
        <v>74</v>
      </c>
      <c r="G6" s="15" t="s">
        <v>1010</v>
      </c>
      <c r="H6" s="15" t="s">
        <v>1011</v>
      </c>
    </row>
    <row r="7" customFormat="false" ht="15" hidden="false" customHeight="false" outlineLevel="0" collapsed="false">
      <c r="A7" s="17" t="s">
        <v>1012</v>
      </c>
      <c r="B7" s="17" t="n">
        <v>1120</v>
      </c>
      <c r="C7" s="17" t="n">
        <v>1120</v>
      </c>
      <c r="D7" s="21" t="n">
        <v>1</v>
      </c>
      <c r="E7" s="22" t="n">
        <v>1.4210854715202E-014</v>
      </c>
      <c r="F7" s="17" t="s">
        <v>74</v>
      </c>
      <c r="G7" s="17" t="s">
        <v>1013</v>
      </c>
      <c r="H7" s="17" t="s">
        <v>1014</v>
      </c>
    </row>
    <row r="8" customFormat="false" ht="15" hidden="false" customHeight="false" outlineLevel="0" collapsed="false">
      <c r="A8" s="17" t="s">
        <v>1015</v>
      </c>
      <c r="B8" s="17" t="n">
        <v>1120</v>
      </c>
      <c r="C8" s="17" t="n">
        <v>1120</v>
      </c>
      <c r="D8" s="21" t="n">
        <v>1</v>
      </c>
      <c r="E8" s="22" t="n">
        <v>9.71445146547012E-017</v>
      </c>
      <c r="F8" s="17" t="s">
        <v>74</v>
      </c>
      <c r="G8" s="17" t="s">
        <v>1016</v>
      </c>
      <c r="H8" s="17" t="s">
        <v>1017</v>
      </c>
    </row>
    <row r="9" customFormat="false" ht="15" hidden="false" customHeight="false" outlineLevel="0" collapsed="false">
      <c r="A9" s="17" t="s">
        <v>1018</v>
      </c>
      <c r="B9" s="17" t="n">
        <v>1120</v>
      </c>
      <c r="C9" s="17" t="n">
        <v>1120</v>
      </c>
      <c r="D9" s="21" t="n">
        <v>1</v>
      </c>
      <c r="E9" s="22" t="n">
        <v>3.5527136788005E-015</v>
      </c>
      <c r="F9" s="17" t="s">
        <v>74</v>
      </c>
      <c r="G9" s="17" t="s">
        <v>1019</v>
      </c>
      <c r="H9" s="17" t="s">
        <v>1020</v>
      </c>
    </row>
    <row r="10" customFormat="false" ht="15" hidden="false" customHeight="false" outlineLevel="0" collapsed="false">
      <c r="A10" s="17" t="s">
        <v>1021</v>
      </c>
      <c r="B10" s="17" t="n">
        <v>1120</v>
      </c>
      <c r="C10" s="17" t="n">
        <v>1120</v>
      </c>
      <c r="D10" s="21" t="n">
        <v>1</v>
      </c>
      <c r="E10" s="22" t="n">
        <v>0</v>
      </c>
      <c r="F10" s="17" t="s">
        <v>74</v>
      </c>
      <c r="G10" s="17" t="s">
        <v>1022</v>
      </c>
      <c r="H10" s="17" t="s">
        <v>1023</v>
      </c>
    </row>
    <row r="11" customFormat="false" ht="26.85" hidden="false" customHeight="false" outlineLevel="0" collapsed="false">
      <c r="A11" s="17" t="s">
        <v>1024</v>
      </c>
      <c r="B11" s="17" t="n">
        <v>1120</v>
      </c>
      <c r="C11" s="17" t="n">
        <v>1120</v>
      </c>
      <c r="D11" s="21" t="n">
        <v>1</v>
      </c>
      <c r="E11" s="22" t="n">
        <v>1.4210854715202E-014</v>
      </c>
      <c r="F11" s="17" t="s">
        <v>74</v>
      </c>
      <c r="G11" s="17" t="s">
        <v>1025</v>
      </c>
      <c r="H11" s="17" t="s">
        <v>1026</v>
      </c>
    </row>
    <row r="14" customFormat="false" ht="15" hidden="false" customHeight="true" outlineLevel="0" collapsed="false">
      <c r="A14" s="23" t="s">
        <v>1027</v>
      </c>
      <c r="B14" s="23"/>
      <c r="C14" s="23"/>
      <c r="D14" s="23"/>
      <c r="E14" s="23"/>
      <c r="F14" s="23"/>
      <c r="G14" s="23"/>
      <c r="H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</row>
  </sheetData>
  <mergeCells count="3">
    <mergeCell ref="A1:H1"/>
    <mergeCell ref="A2:H2"/>
    <mergeCell ref="A14:H15"/>
  </mergeCells>
  <conditionalFormatting sqref="F6:F11">
    <cfRule type="containsText" priority="2" operator="containsText" aboveAverage="0" equalAverage="0" bottom="0" percent="0" rank="0" text="PASS" dxfId="44">
      <formula>NOT(ISERROR(SEARCH("PASS",F6)))</formula>
    </cfRule>
    <cfRule type="containsText" priority="3" operator="containsText" aboveAverage="0" equalAverage="0" bottom="0" percent="0" rank="0" text="APPROVED" dxfId="45">
      <formula>NOT(ISERROR(SEARCH("APPROVED",F6)))</formula>
    </cfRule>
    <cfRule type="containsText" priority="4" operator="containsText" aboveAverage="0" equalAverage="0" bottom="0" percent="0" rank="0" text="FAIL" dxfId="46">
      <formula>NOT(ISERROR(SEARCH("FAIL",F6)))</formula>
    </cfRule>
    <cfRule type="containsText" priority="5" operator="containsText" aboveAverage="0" equalAverage="0" bottom="0" percent="0" rank="0" text="BLOCKED" dxfId="47">
      <formula>NOT(ISERROR(SEARCH("BLOCKED",F6)))</formula>
    </cfRule>
    <cfRule type="containsText" priority="6" operator="containsText" aboveAverage="0" equalAverage="0" bottom="0" percent="0" rank="0" text="OPEN" dxfId="48">
      <formula>NOT(ISERROR(SEARCH("OPEN",F6)))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  <col collapsed="false" customWidth="true" hidden="false" outlineLevel="0" max="12" min="12" style="0" width="55"/>
  </cols>
  <sheetData>
    <row r="1" customFormat="false" ht="32" hidden="false" customHeight="true" outlineLevel="0" collapsed="false">
      <c r="A1" s="1" t="s">
        <v>1028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1029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0" hidden="false" customHeight="true" outlineLevel="0" collapsed="false">
      <c r="A5" s="12" t="s">
        <v>1030</v>
      </c>
      <c r="B5" s="13" t="s">
        <v>1031</v>
      </c>
      <c r="C5" s="13" t="s">
        <v>1032</v>
      </c>
      <c r="D5" s="13" t="s">
        <v>1033</v>
      </c>
      <c r="E5" s="13" t="s">
        <v>16</v>
      </c>
      <c r="F5" s="13" t="s">
        <v>20</v>
      </c>
      <c r="G5" s="13" t="s">
        <v>21</v>
      </c>
      <c r="H5" s="13" t="s">
        <v>1034</v>
      </c>
      <c r="I5" s="13" t="s">
        <v>1035</v>
      </c>
      <c r="J5" s="13" t="s">
        <v>18</v>
      </c>
      <c r="K5" s="13" t="s">
        <v>1036</v>
      </c>
      <c r="L5" s="14" t="s">
        <v>1037</v>
      </c>
    </row>
    <row r="6" customFormat="false" ht="26.85" hidden="false" customHeight="false" outlineLevel="0" collapsed="false">
      <c r="A6" s="15" t="s">
        <v>1038</v>
      </c>
      <c r="B6" s="15" t="n">
        <v>1280</v>
      </c>
      <c r="C6" s="15" t="n">
        <v>1704</v>
      </c>
      <c r="D6" s="15" t="n">
        <v>21</v>
      </c>
      <c r="E6" s="15" t="n">
        <v>18</v>
      </c>
      <c r="F6" s="15" t="n">
        <v>4</v>
      </c>
      <c r="G6" s="15" t="n">
        <v>6</v>
      </c>
      <c r="H6" s="15" t="n">
        <v>1</v>
      </c>
      <c r="I6" s="15" t="n">
        <v>1</v>
      </c>
      <c r="J6" s="15" t="n">
        <v>56</v>
      </c>
      <c r="K6" s="15" t="n">
        <v>0</v>
      </c>
      <c r="L6" s="15" t="s">
        <v>1039</v>
      </c>
    </row>
    <row r="7" customFormat="false" ht="26.85" hidden="false" customHeight="false" outlineLevel="0" collapsed="false">
      <c r="A7" s="17" t="s">
        <v>1040</v>
      </c>
      <c r="B7" s="17" t="n">
        <v>1280</v>
      </c>
      <c r="C7" s="17" t="n">
        <v>1704</v>
      </c>
      <c r="D7" s="17" t="n">
        <v>21</v>
      </c>
      <c r="E7" s="17" t="n">
        <v>18</v>
      </c>
      <c r="F7" s="17" t="n">
        <v>4</v>
      </c>
      <c r="G7" s="17" t="n">
        <v>6</v>
      </c>
      <c r="H7" s="17" t="n">
        <v>1</v>
      </c>
      <c r="I7" s="17" t="n">
        <v>1</v>
      </c>
      <c r="J7" s="17" t="n">
        <v>59</v>
      </c>
      <c r="K7" s="17" t="n">
        <v>0</v>
      </c>
      <c r="L7" s="17" t="s">
        <v>1041</v>
      </c>
    </row>
    <row r="8" customFormat="false" ht="26.85" hidden="false" customHeight="false" outlineLevel="0" collapsed="false">
      <c r="A8" s="17" t="s">
        <v>1042</v>
      </c>
      <c r="B8" s="17" t="n">
        <v>1280</v>
      </c>
      <c r="C8" s="17" t="n">
        <v>1704</v>
      </c>
      <c r="D8" s="17" t="n">
        <v>21</v>
      </c>
      <c r="E8" s="17" t="n">
        <v>18</v>
      </c>
      <c r="F8" s="17" t="n">
        <v>4</v>
      </c>
      <c r="G8" s="17" t="n">
        <v>6</v>
      </c>
      <c r="H8" s="17" t="n">
        <v>1</v>
      </c>
      <c r="I8" s="17" t="n">
        <v>1</v>
      </c>
      <c r="J8" s="17" t="n">
        <v>58</v>
      </c>
      <c r="K8" s="17" t="n">
        <v>0</v>
      </c>
      <c r="L8" s="17" t="s">
        <v>1043</v>
      </c>
    </row>
    <row r="9" customFormat="false" ht="26.85" hidden="false" customHeight="false" outlineLevel="0" collapsed="false">
      <c r="A9" s="17" t="s">
        <v>1044</v>
      </c>
      <c r="B9" s="17" t="n">
        <v>1280</v>
      </c>
      <c r="C9" s="17" t="n">
        <v>1704</v>
      </c>
      <c r="D9" s="17" t="n">
        <v>21</v>
      </c>
      <c r="E9" s="17" t="n">
        <v>18</v>
      </c>
      <c r="F9" s="17" t="n">
        <v>4</v>
      </c>
      <c r="G9" s="17" t="n">
        <v>6</v>
      </c>
      <c r="H9" s="17" t="n">
        <v>1</v>
      </c>
      <c r="I9" s="17" t="n">
        <v>1</v>
      </c>
      <c r="J9" s="17" t="n">
        <v>59</v>
      </c>
      <c r="K9" s="17" t="n">
        <v>0</v>
      </c>
      <c r="L9" s="17" t="s">
        <v>1045</v>
      </c>
    </row>
    <row r="10" customFormat="false" ht="39.55" hidden="false" customHeight="false" outlineLevel="0" collapsed="false">
      <c r="A10" s="17" t="s">
        <v>1046</v>
      </c>
      <c r="B10" s="17" t="n">
        <v>1280</v>
      </c>
      <c r="C10" s="17" t="n">
        <v>2204</v>
      </c>
      <c r="D10" s="17" t="n">
        <v>26</v>
      </c>
      <c r="E10" s="17" t="n">
        <v>23</v>
      </c>
      <c r="F10" s="17" t="n">
        <v>6</v>
      </c>
      <c r="G10" s="17" t="n">
        <v>6</v>
      </c>
      <c r="H10" s="17" t="n">
        <v>1</v>
      </c>
      <c r="I10" s="17" t="n">
        <v>1</v>
      </c>
      <c r="J10" s="17" t="n">
        <v>78</v>
      </c>
      <c r="K10" s="17" t="n">
        <v>0</v>
      </c>
      <c r="L10" s="17" t="s">
        <v>1047</v>
      </c>
    </row>
    <row r="13" customFormat="false" ht="30" hidden="false" customHeight="true" outlineLevel="0" collapsed="false">
      <c r="A13" s="12" t="s">
        <v>1048</v>
      </c>
      <c r="B13" s="13" t="s">
        <v>1049</v>
      </c>
      <c r="C13" s="14" t="s">
        <v>1050</v>
      </c>
    </row>
    <row r="14" customFormat="false" ht="26.85" hidden="false" customHeight="false" outlineLevel="0" collapsed="false">
      <c r="A14" s="15" t="s">
        <v>1051</v>
      </c>
      <c r="B14" s="15" t="n">
        <v>22</v>
      </c>
      <c r="C14" s="15" t="s">
        <v>1052</v>
      </c>
    </row>
    <row r="15" customFormat="false" ht="26.85" hidden="false" customHeight="false" outlineLevel="0" collapsed="false">
      <c r="A15" s="17" t="s">
        <v>1053</v>
      </c>
      <c r="B15" s="17" t="n">
        <v>4</v>
      </c>
      <c r="C15" s="17" t="s">
        <v>1054</v>
      </c>
    </row>
    <row r="16" customFormat="false" ht="26.85" hidden="false" customHeight="false" outlineLevel="0" collapsed="false">
      <c r="A16" s="17" t="s">
        <v>1055</v>
      </c>
      <c r="B16" s="17" t="n">
        <v>4</v>
      </c>
      <c r="C16" s="17" t="s">
        <v>1056</v>
      </c>
    </row>
    <row r="17" customFormat="false" ht="39.55" hidden="false" customHeight="false" outlineLevel="0" collapsed="false">
      <c r="A17" s="17" t="s">
        <v>1057</v>
      </c>
      <c r="B17" s="17" t="n">
        <v>2</v>
      </c>
      <c r="C17" s="17" t="s">
        <v>1058</v>
      </c>
    </row>
    <row r="18" customFormat="false" ht="15" hidden="false" customHeight="false" outlineLevel="0" collapsed="false">
      <c r="A18" s="17" t="s">
        <v>1059</v>
      </c>
      <c r="B18" s="17" t="n">
        <v>3</v>
      </c>
      <c r="C18" s="17" t="s">
        <v>1060</v>
      </c>
    </row>
    <row r="19" customFormat="false" ht="15" hidden="false" customHeight="false" outlineLevel="0" collapsed="false">
      <c r="A19" s="17" t="s">
        <v>1061</v>
      </c>
      <c r="B19" s="17" t="n">
        <v>2</v>
      </c>
      <c r="C19" s="17" t="s">
        <v>1062</v>
      </c>
    </row>
    <row r="20" customFormat="false" ht="26.85" hidden="false" customHeight="false" outlineLevel="0" collapsed="false">
      <c r="A20" s="17" t="s">
        <v>1063</v>
      </c>
      <c r="B20" s="17" t="n">
        <v>2</v>
      </c>
      <c r="C20" s="17" t="s">
        <v>1064</v>
      </c>
    </row>
    <row r="21" customFormat="false" ht="26.85" hidden="false" customHeight="false" outlineLevel="0" collapsed="false">
      <c r="A21" s="17" t="s">
        <v>1065</v>
      </c>
      <c r="B21" s="17" t="n">
        <v>2</v>
      </c>
      <c r="C21" s="17" t="s">
        <v>1066</v>
      </c>
    </row>
    <row r="22" customFormat="false" ht="26.85" hidden="false" customHeight="false" outlineLevel="0" collapsed="false">
      <c r="A22" s="17" t="s">
        <v>1067</v>
      </c>
      <c r="B22" s="17" t="n">
        <v>2</v>
      </c>
      <c r="C22" s="17" t="s">
        <v>1068</v>
      </c>
    </row>
    <row r="23" customFormat="false" ht="39.55" hidden="false" customHeight="false" outlineLevel="0" collapsed="false">
      <c r="A23" s="17" t="s">
        <v>1069</v>
      </c>
      <c r="B23" s="17" t="n">
        <v>5</v>
      </c>
      <c r="C23" s="17" t="s">
        <v>1070</v>
      </c>
    </row>
    <row r="24" customFormat="false" ht="26.85" hidden="false" customHeight="false" outlineLevel="0" collapsed="false">
      <c r="A24" s="17" t="s">
        <v>1071</v>
      </c>
      <c r="B24" s="17" t="n">
        <v>5</v>
      </c>
      <c r="C24" s="17" t="s">
        <v>1072</v>
      </c>
    </row>
    <row r="25" customFormat="false" ht="26.85" hidden="false" customHeight="false" outlineLevel="0" collapsed="false">
      <c r="A25" s="17" t="s">
        <v>1073</v>
      </c>
      <c r="B25" s="17" t="n">
        <v>1</v>
      </c>
      <c r="C25" s="17" t="s">
        <v>1074</v>
      </c>
    </row>
    <row r="26" customFormat="false" ht="39.55" hidden="false" customHeight="false" outlineLevel="0" collapsed="false">
      <c r="A26" s="17" t="s">
        <v>1075</v>
      </c>
      <c r="B26" s="17" t="n">
        <v>6</v>
      </c>
      <c r="C26" s="17" t="s">
        <v>1076</v>
      </c>
    </row>
    <row r="27" customFormat="false" ht="26.85" hidden="false" customHeight="false" outlineLevel="0" collapsed="false">
      <c r="A27" s="17" t="s">
        <v>1077</v>
      </c>
      <c r="B27" s="17" t="n">
        <v>2</v>
      </c>
      <c r="C27" s="17" t="s">
        <v>1078</v>
      </c>
    </row>
    <row r="28" customFormat="false" ht="39.55" hidden="false" customHeight="false" outlineLevel="0" collapsed="false">
      <c r="A28" s="17" t="s">
        <v>1079</v>
      </c>
      <c r="B28" s="17" t="n">
        <v>3</v>
      </c>
      <c r="C28" s="17" t="s">
        <v>1080</v>
      </c>
    </row>
    <row r="29" customFormat="false" ht="15" hidden="false" customHeight="false" outlineLevel="0" collapsed="false">
      <c r="A29" s="17" t="s">
        <v>1081</v>
      </c>
      <c r="B29" s="17" t="n">
        <v>30</v>
      </c>
      <c r="C29" s="17" t="s">
        <v>1082</v>
      </c>
    </row>
    <row r="30" customFormat="false" ht="26.85" hidden="false" customHeight="false" outlineLevel="0" collapsed="false">
      <c r="A30" s="17" t="s">
        <v>1083</v>
      </c>
      <c r="B30" s="17" t="n">
        <v>1</v>
      </c>
      <c r="C30" s="17" t="s">
        <v>1084</v>
      </c>
    </row>
    <row r="31" customFormat="false" ht="26.85" hidden="false" customHeight="false" outlineLevel="0" collapsed="false">
      <c r="A31" s="17" t="s">
        <v>1085</v>
      </c>
      <c r="B31" s="17" t="n">
        <v>10</v>
      </c>
      <c r="C31" s="17" t="s">
        <v>1086</v>
      </c>
    </row>
    <row r="32" customFormat="false" ht="26.85" hidden="false" customHeight="false" outlineLevel="0" collapsed="false">
      <c r="A32" s="17" t="s">
        <v>1087</v>
      </c>
      <c r="B32" s="17" t="n">
        <v>2</v>
      </c>
      <c r="C32" s="17" t="s">
        <v>1088</v>
      </c>
    </row>
    <row r="33" customFormat="false" ht="39.55" hidden="false" customHeight="false" outlineLevel="0" collapsed="false">
      <c r="A33" s="17" t="s">
        <v>1089</v>
      </c>
      <c r="B33" s="17" t="n">
        <v>2</v>
      </c>
      <c r="C33" s="17" t="s">
        <v>1090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38"/>
    <col collapsed="false" customWidth="true" hidden="false" outlineLevel="0" max="5" min="5" style="0" width="25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38"/>
  </cols>
  <sheetData>
    <row r="1" customFormat="false" ht="32" hidden="false" customHeight="true" outlineLevel="0" collapsed="false">
      <c r="A1" s="1" t="s">
        <v>1091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1092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30" hidden="false" customHeight="true" outlineLevel="0" collapsed="false">
      <c r="A5" s="12" t="s">
        <v>1093</v>
      </c>
      <c r="B5" s="13" t="s">
        <v>1094</v>
      </c>
      <c r="C5" s="13" t="s">
        <v>1095</v>
      </c>
      <c r="D5" s="13" t="s">
        <v>1096</v>
      </c>
      <c r="E5" s="13" t="s">
        <v>1097</v>
      </c>
      <c r="F5" s="13" t="s">
        <v>63</v>
      </c>
      <c r="G5" s="13" t="s">
        <v>64</v>
      </c>
      <c r="H5" s="13" t="s">
        <v>1098</v>
      </c>
      <c r="I5" s="13" t="s">
        <v>1099</v>
      </c>
      <c r="J5" s="14" t="s">
        <v>1100</v>
      </c>
    </row>
    <row r="6" customFormat="false" ht="48" hidden="false" customHeight="true" outlineLevel="0" collapsed="false">
      <c r="A6" s="15" t="s">
        <v>1101</v>
      </c>
      <c r="B6" s="15" t="s">
        <v>1102</v>
      </c>
      <c r="C6" s="15" t="s">
        <v>1103</v>
      </c>
      <c r="D6" s="15" t="s">
        <v>1104</v>
      </c>
      <c r="E6" s="15" t="s">
        <v>1105</v>
      </c>
      <c r="F6" s="15" t="s">
        <v>73</v>
      </c>
      <c r="G6" s="15" t="s">
        <v>1106</v>
      </c>
      <c r="H6" s="15" t="s">
        <v>1107</v>
      </c>
      <c r="I6" s="15" t="s">
        <v>1107</v>
      </c>
      <c r="J6" s="15" t="s">
        <v>1108</v>
      </c>
    </row>
    <row r="7" customFormat="false" ht="48" hidden="false" customHeight="true" outlineLevel="0" collapsed="false">
      <c r="A7" s="17" t="s">
        <v>1109</v>
      </c>
      <c r="B7" s="17" t="s">
        <v>1110</v>
      </c>
      <c r="C7" s="17" t="s">
        <v>1111</v>
      </c>
      <c r="D7" s="17" t="s">
        <v>1112</v>
      </c>
      <c r="E7" s="17" t="s">
        <v>1113</v>
      </c>
      <c r="F7" s="17" t="s">
        <v>73</v>
      </c>
      <c r="G7" s="17" t="s">
        <v>1106</v>
      </c>
      <c r="H7" s="17" t="s">
        <v>1107</v>
      </c>
      <c r="I7" s="17" t="s">
        <v>1107</v>
      </c>
      <c r="J7" s="17" t="s">
        <v>1114</v>
      </c>
    </row>
    <row r="8" customFormat="false" ht="48" hidden="false" customHeight="true" outlineLevel="0" collapsed="false">
      <c r="A8" s="17" t="s">
        <v>1115</v>
      </c>
      <c r="B8" s="17" t="s">
        <v>1116</v>
      </c>
      <c r="C8" s="17" t="s">
        <v>1117</v>
      </c>
      <c r="D8" s="17" t="s">
        <v>1118</v>
      </c>
      <c r="E8" s="17" t="s">
        <v>1119</v>
      </c>
      <c r="F8" s="17" t="s">
        <v>73</v>
      </c>
      <c r="G8" s="17" t="s">
        <v>1106</v>
      </c>
      <c r="H8" s="17" t="s">
        <v>1107</v>
      </c>
      <c r="I8" s="17" t="s">
        <v>1120</v>
      </c>
      <c r="J8" s="17"/>
    </row>
    <row r="9" customFormat="false" ht="48" hidden="false" customHeight="true" outlineLevel="0" collapsed="false">
      <c r="A9" s="17" t="s">
        <v>1121</v>
      </c>
      <c r="B9" s="17" t="s">
        <v>1122</v>
      </c>
      <c r="C9" s="17" t="s">
        <v>1123</v>
      </c>
      <c r="D9" s="17" t="s">
        <v>1124</v>
      </c>
      <c r="E9" s="17" t="s">
        <v>349</v>
      </c>
      <c r="F9" s="17" t="s">
        <v>105</v>
      </c>
      <c r="G9" s="17" t="s">
        <v>1106</v>
      </c>
      <c r="H9" s="17" t="s">
        <v>1107</v>
      </c>
      <c r="I9" s="17" t="s">
        <v>1125</v>
      </c>
      <c r="J9" s="17"/>
    </row>
    <row r="10" customFormat="false" ht="48" hidden="false" customHeight="true" outlineLevel="0" collapsed="false">
      <c r="A10" s="17" t="s">
        <v>1126</v>
      </c>
      <c r="B10" s="17" t="s">
        <v>1127</v>
      </c>
      <c r="C10" s="17" t="s">
        <v>1128</v>
      </c>
      <c r="D10" s="17" t="s">
        <v>1129</v>
      </c>
      <c r="E10" s="17" t="s">
        <v>1130</v>
      </c>
      <c r="F10" s="17" t="s">
        <v>73</v>
      </c>
      <c r="G10" s="17" t="s">
        <v>1106</v>
      </c>
      <c r="H10" s="17" t="s">
        <v>1131</v>
      </c>
      <c r="I10" s="17" t="s">
        <v>1132</v>
      </c>
      <c r="J10" s="17"/>
    </row>
    <row r="11" customFormat="false" ht="48" hidden="false" customHeight="true" outlineLevel="0" collapsed="false">
      <c r="A11" s="17" t="s">
        <v>1133</v>
      </c>
      <c r="B11" s="17" t="s">
        <v>1134</v>
      </c>
      <c r="C11" s="17" t="s">
        <v>1135</v>
      </c>
      <c r="D11" s="17" t="s">
        <v>1136</v>
      </c>
      <c r="E11" s="17" t="s">
        <v>1137</v>
      </c>
      <c r="F11" s="17" t="s">
        <v>1138</v>
      </c>
      <c r="G11" s="17" t="s">
        <v>1106</v>
      </c>
      <c r="H11" s="17" t="s">
        <v>1107</v>
      </c>
      <c r="I11" s="17" t="s">
        <v>1139</v>
      </c>
      <c r="J11" s="17"/>
    </row>
    <row r="12" customFormat="false" ht="48" hidden="false" customHeight="true" outlineLevel="0" collapsed="false">
      <c r="A12" s="17" t="s">
        <v>1140</v>
      </c>
      <c r="B12" s="17" t="s">
        <v>1141</v>
      </c>
      <c r="C12" s="17" t="s">
        <v>1142</v>
      </c>
      <c r="D12" s="17" t="s">
        <v>1143</v>
      </c>
      <c r="E12" s="17" t="s">
        <v>1144</v>
      </c>
      <c r="F12" s="17" t="s">
        <v>73</v>
      </c>
      <c r="G12" s="17" t="s">
        <v>1106</v>
      </c>
      <c r="H12" s="17" t="s">
        <v>1107</v>
      </c>
      <c r="I12" s="17" t="s">
        <v>1145</v>
      </c>
      <c r="J12" s="17"/>
    </row>
    <row r="13" customFormat="false" ht="48" hidden="false" customHeight="true" outlineLevel="0" collapsed="false">
      <c r="A13" s="17" t="s">
        <v>1146</v>
      </c>
      <c r="B13" s="17" t="s">
        <v>1147</v>
      </c>
      <c r="C13" s="17" t="s">
        <v>1148</v>
      </c>
      <c r="D13" s="17" t="s">
        <v>1149</v>
      </c>
      <c r="E13" s="17" t="s">
        <v>1150</v>
      </c>
      <c r="F13" s="17" t="s">
        <v>105</v>
      </c>
      <c r="G13" s="17" t="s">
        <v>1106</v>
      </c>
      <c r="H13" s="17" t="s">
        <v>1107</v>
      </c>
      <c r="I13" s="17" t="s">
        <v>1151</v>
      </c>
      <c r="J13" s="17"/>
    </row>
    <row r="14" customFormat="false" ht="48" hidden="false" customHeight="true" outlineLevel="0" collapsed="false">
      <c r="A14" s="17" t="s">
        <v>1152</v>
      </c>
      <c r="B14" s="17" t="s">
        <v>1153</v>
      </c>
      <c r="C14" s="17" t="s">
        <v>1154</v>
      </c>
      <c r="D14" s="17" t="s">
        <v>1155</v>
      </c>
      <c r="E14" s="17" t="s">
        <v>1156</v>
      </c>
      <c r="F14" s="17" t="s">
        <v>1138</v>
      </c>
      <c r="G14" s="17" t="s">
        <v>1106</v>
      </c>
      <c r="H14" s="17" t="s">
        <v>1131</v>
      </c>
      <c r="I14" s="17" t="s">
        <v>1157</v>
      </c>
      <c r="J14" s="17"/>
    </row>
    <row r="15" customFormat="false" ht="48" hidden="false" customHeight="true" outlineLevel="0" collapsed="false">
      <c r="A15" s="17" t="s">
        <v>1158</v>
      </c>
      <c r="B15" s="17" t="s">
        <v>1159</v>
      </c>
      <c r="C15" s="17" t="s">
        <v>1160</v>
      </c>
      <c r="D15" s="17" t="s">
        <v>1161</v>
      </c>
      <c r="E15" s="17" t="s">
        <v>1162</v>
      </c>
      <c r="F15" s="17" t="s">
        <v>1138</v>
      </c>
      <c r="G15" s="17" t="s">
        <v>1106</v>
      </c>
      <c r="H15" s="17" t="s">
        <v>1107</v>
      </c>
      <c r="I15" s="17" t="s">
        <v>1163</v>
      </c>
      <c r="J15" s="17"/>
    </row>
  </sheetData>
  <mergeCells count="2">
    <mergeCell ref="A1:J1"/>
    <mergeCell ref="A2:J2"/>
  </mergeCells>
  <conditionalFormatting sqref="G6:G15">
    <cfRule type="containsText" priority="2" operator="containsText" aboveAverage="0" equalAverage="0" bottom="0" percent="0" rank="0" text="PASS" dxfId="49">
      <formula>NOT(ISERROR(SEARCH("PASS",G6)))</formula>
    </cfRule>
    <cfRule type="containsText" priority="3" operator="containsText" aboveAverage="0" equalAverage="0" bottom="0" percent="0" rank="0" text="APPROVED" dxfId="50">
      <formula>NOT(ISERROR(SEARCH("APPROVED",G6)))</formula>
    </cfRule>
    <cfRule type="containsText" priority="4" operator="containsText" aboveAverage="0" equalAverage="0" bottom="0" percent="0" rank="0" text="FAIL" dxfId="51">
      <formula>NOT(ISERROR(SEARCH("FAIL",G6)))</formula>
    </cfRule>
    <cfRule type="containsText" priority="5" operator="containsText" aboveAverage="0" equalAverage="0" bottom="0" percent="0" rank="0" text="BLOCKED" dxfId="52">
      <formula>NOT(ISERROR(SEARCH("BLOCKED",G6)))</formula>
    </cfRule>
    <cfRule type="containsText" priority="6" operator="containsText" aboveAverage="0" equalAverage="0" bottom="0" percent="0" rank="0" text="OPEN" dxfId="53">
      <formula>NOT(ISERROR(SEARCH("OPEN",G6)))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6" min="6" style="0" width="45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15"/>
  </cols>
  <sheetData>
    <row r="1" customFormat="false" ht="32" hidden="false" customHeight="true" outlineLevel="0" collapsed="false">
      <c r="A1" s="1" t="s">
        <v>1164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1165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30" hidden="false" customHeight="true" outlineLevel="0" collapsed="false">
      <c r="A5" s="12" t="s">
        <v>1166</v>
      </c>
      <c r="B5" s="13" t="s">
        <v>1167</v>
      </c>
      <c r="C5" s="13" t="s">
        <v>1168</v>
      </c>
      <c r="D5" s="13" t="s">
        <v>1169</v>
      </c>
      <c r="E5" s="13" t="s">
        <v>1170</v>
      </c>
      <c r="F5" s="13" t="s">
        <v>1171</v>
      </c>
      <c r="G5" s="13" t="s">
        <v>1172</v>
      </c>
      <c r="H5" s="13" t="s">
        <v>1173</v>
      </c>
      <c r="I5" s="13" t="s">
        <v>1174</v>
      </c>
      <c r="J5" s="14" t="s">
        <v>64</v>
      </c>
    </row>
    <row r="6" customFormat="false" ht="46" hidden="false" customHeight="true" outlineLevel="0" collapsed="false">
      <c r="A6" s="15" t="s">
        <v>1175</v>
      </c>
      <c r="B6" s="15" t="s">
        <v>1176</v>
      </c>
      <c r="C6" s="15" t="s">
        <v>1138</v>
      </c>
      <c r="D6" s="15" t="s">
        <v>1177</v>
      </c>
      <c r="E6" s="15" t="s">
        <v>1138</v>
      </c>
      <c r="F6" s="15" t="s">
        <v>1178</v>
      </c>
      <c r="G6" s="15" t="s">
        <v>1177</v>
      </c>
      <c r="H6" s="15" t="s">
        <v>1179</v>
      </c>
      <c r="I6" s="15" t="s">
        <v>1180</v>
      </c>
      <c r="J6" s="15" t="s">
        <v>1181</v>
      </c>
    </row>
    <row r="7" customFormat="false" ht="46" hidden="false" customHeight="true" outlineLevel="0" collapsed="false">
      <c r="A7" s="17" t="s">
        <v>1182</v>
      </c>
      <c r="B7" s="17" t="s">
        <v>1183</v>
      </c>
      <c r="C7" s="17" t="s">
        <v>1138</v>
      </c>
      <c r="D7" s="17" t="s">
        <v>1138</v>
      </c>
      <c r="E7" s="17" t="s">
        <v>1138</v>
      </c>
      <c r="F7" s="17" t="s">
        <v>1184</v>
      </c>
      <c r="G7" s="17" t="s">
        <v>1177</v>
      </c>
      <c r="H7" s="17" t="s">
        <v>1185</v>
      </c>
      <c r="I7" s="17" t="s">
        <v>1186</v>
      </c>
      <c r="J7" s="17" t="s">
        <v>1181</v>
      </c>
    </row>
    <row r="8" customFormat="false" ht="46" hidden="false" customHeight="true" outlineLevel="0" collapsed="false">
      <c r="A8" s="17" t="s">
        <v>1187</v>
      </c>
      <c r="B8" s="17" t="s">
        <v>1188</v>
      </c>
      <c r="C8" s="17" t="s">
        <v>1138</v>
      </c>
      <c r="D8" s="17" t="s">
        <v>105</v>
      </c>
      <c r="E8" s="17" t="s">
        <v>105</v>
      </c>
      <c r="F8" s="17" t="s">
        <v>1189</v>
      </c>
      <c r="G8" s="17" t="s">
        <v>1177</v>
      </c>
      <c r="H8" s="17" t="s">
        <v>1185</v>
      </c>
      <c r="I8" s="17" t="s">
        <v>1190</v>
      </c>
      <c r="J8" s="17" t="s">
        <v>1181</v>
      </c>
    </row>
    <row r="9" customFormat="false" ht="46" hidden="false" customHeight="true" outlineLevel="0" collapsed="false">
      <c r="A9" s="17" t="s">
        <v>1191</v>
      </c>
      <c r="B9" s="17" t="s">
        <v>1192</v>
      </c>
      <c r="C9" s="17" t="s">
        <v>1138</v>
      </c>
      <c r="D9" s="17" t="s">
        <v>105</v>
      </c>
      <c r="E9" s="17" t="s">
        <v>105</v>
      </c>
      <c r="F9" s="17" t="s">
        <v>1193</v>
      </c>
      <c r="G9" s="17" t="s">
        <v>1177</v>
      </c>
      <c r="H9" s="17" t="s">
        <v>1194</v>
      </c>
      <c r="I9" s="17" t="s">
        <v>1195</v>
      </c>
      <c r="J9" s="17" t="s">
        <v>1181</v>
      </c>
    </row>
    <row r="10" customFormat="false" ht="46" hidden="false" customHeight="true" outlineLevel="0" collapsed="false">
      <c r="A10" s="17" t="s">
        <v>1196</v>
      </c>
      <c r="B10" s="17" t="s">
        <v>1197</v>
      </c>
      <c r="C10" s="17" t="s">
        <v>1177</v>
      </c>
      <c r="D10" s="17" t="s">
        <v>105</v>
      </c>
      <c r="E10" s="17" t="s">
        <v>105</v>
      </c>
      <c r="F10" s="17" t="s">
        <v>1198</v>
      </c>
      <c r="G10" s="17" t="s">
        <v>1138</v>
      </c>
      <c r="H10" s="17" t="s">
        <v>1199</v>
      </c>
      <c r="I10" s="17" t="s">
        <v>1200</v>
      </c>
      <c r="J10" s="17" t="s">
        <v>1201</v>
      </c>
    </row>
    <row r="11" customFormat="false" ht="46" hidden="false" customHeight="true" outlineLevel="0" collapsed="false">
      <c r="A11" s="17" t="s">
        <v>1202</v>
      </c>
      <c r="B11" s="17" t="s">
        <v>1203</v>
      </c>
      <c r="C11" s="17" t="s">
        <v>1138</v>
      </c>
      <c r="D11" s="17" t="s">
        <v>105</v>
      </c>
      <c r="E11" s="17" t="s">
        <v>105</v>
      </c>
      <c r="F11" s="17" t="s">
        <v>1204</v>
      </c>
      <c r="G11" s="17" t="s">
        <v>1177</v>
      </c>
      <c r="H11" s="17" t="s">
        <v>1205</v>
      </c>
      <c r="I11" s="17" t="s">
        <v>1206</v>
      </c>
      <c r="J11" s="17" t="s">
        <v>1181</v>
      </c>
    </row>
    <row r="12" customFormat="false" ht="46" hidden="false" customHeight="true" outlineLevel="0" collapsed="false">
      <c r="A12" s="17" t="s">
        <v>1207</v>
      </c>
      <c r="B12" s="17" t="s">
        <v>1208</v>
      </c>
      <c r="C12" s="17" t="s">
        <v>1138</v>
      </c>
      <c r="D12" s="17" t="s">
        <v>105</v>
      </c>
      <c r="E12" s="17" t="s">
        <v>105</v>
      </c>
      <c r="F12" s="17" t="s">
        <v>1209</v>
      </c>
      <c r="G12" s="17" t="s">
        <v>1177</v>
      </c>
      <c r="H12" s="17" t="s">
        <v>1205</v>
      </c>
      <c r="I12" s="17" t="s">
        <v>1210</v>
      </c>
      <c r="J12" s="17" t="s">
        <v>1181</v>
      </c>
    </row>
    <row r="13" customFormat="false" ht="46" hidden="false" customHeight="true" outlineLevel="0" collapsed="false">
      <c r="A13" s="17" t="s">
        <v>1211</v>
      </c>
      <c r="B13" s="17" t="s">
        <v>1212</v>
      </c>
      <c r="C13" s="17" t="s">
        <v>1177</v>
      </c>
      <c r="D13" s="17" t="s">
        <v>1138</v>
      </c>
      <c r="E13" s="17" t="s">
        <v>1138</v>
      </c>
      <c r="F13" s="17" t="s">
        <v>1213</v>
      </c>
      <c r="G13" s="17" t="s">
        <v>1177</v>
      </c>
      <c r="H13" s="17" t="s">
        <v>1199</v>
      </c>
      <c r="I13" s="17" t="s">
        <v>1214</v>
      </c>
      <c r="J13" s="17" t="s">
        <v>1201</v>
      </c>
    </row>
    <row r="14" customFormat="false" ht="46" hidden="false" customHeight="true" outlineLevel="0" collapsed="false">
      <c r="A14" s="17" t="s">
        <v>1215</v>
      </c>
      <c r="B14" s="17" t="s">
        <v>1216</v>
      </c>
      <c r="C14" s="17" t="s">
        <v>1138</v>
      </c>
      <c r="D14" s="17" t="s">
        <v>1138</v>
      </c>
      <c r="E14" s="17" t="s">
        <v>1138</v>
      </c>
      <c r="F14" s="17" t="s">
        <v>1217</v>
      </c>
      <c r="G14" s="17" t="s">
        <v>1177</v>
      </c>
      <c r="H14" s="17" t="s">
        <v>1218</v>
      </c>
      <c r="I14" s="17" t="s">
        <v>1219</v>
      </c>
      <c r="J14" s="17" t="s">
        <v>1181</v>
      </c>
    </row>
    <row r="15" customFormat="false" ht="46" hidden="false" customHeight="true" outlineLevel="0" collapsed="false">
      <c r="A15" s="17" t="s">
        <v>1220</v>
      </c>
      <c r="B15" s="17" t="s">
        <v>1221</v>
      </c>
      <c r="C15" s="17" t="s">
        <v>1177</v>
      </c>
      <c r="D15" s="17" t="s">
        <v>105</v>
      </c>
      <c r="E15" s="17" t="s">
        <v>105</v>
      </c>
      <c r="F15" s="17" t="s">
        <v>1222</v>
      </c>
      <c r="G15" s="17" t="s">
        <v>1138</v>
      </c>
      <c r="H15" s="17" t="s">
        <v>1179</v>
      </c>
      <c r="I15" s="17" t="s">
        <v>1223</v>
      </c>
      <c r="J15" s="17" t="s">
        <v>1201</v>
      </c>
    </row>
    <row r="16" customFormat="false" ht="46" hidden="false" customHeight="true" outlineLevel="0" collapsed="false">
      <c r="A16" s="17" t="s">
        <v>1224</v>
      </c>
      <c r="B16" s="17" t="s">
        <v>1225</v>
      </c>
      <c r="C16" s="17" t="s">
        <v>1138</v>
      </c>
      <c r="D16" s="17" t="s">
        <v>1177</v>
      </c>
      <c r="E16" s="17" t="s">
        <v>1177</v>
      </c>
      <c r="F16" s="17" t="s">
        <v>1226</v>
      </c>
      <c r="G16" s="17" t="s">
        <v>1177</v>
      </c>
      <c r="H16" s="17" t="s">
        <v>1205</v>
      </c>
      <c r="I16" s="17" t="s">
        <v>1227</v>
      </c>
      <c r="J16" s="17" t="s">
        <v>1228</v>
      </c>
    </row>
    <row r="17" customFormat="false" ht="46" hidden="false" customHeight="true" outlineLevel="0" collapsed="false">
      <c r="A17" s="17" t="s">
        <v>1229</v>
      </c>
      <c r="B17" s="17" t="s">
        <v>1230</v>
      </c>
      <c r="C17" s="17" t="s">
        <v>1138</v>
      </c>
      <c r="D17" s="17" t="s">
        <v>1138</v>
      </c>
      <c r="E17" s="17" t="s">
        <v>1138</v>
      </c>
      <c r="F17" s="17" t="s">
        <v>1231</v>
      </c>
      <c r="G17" s="17" t="s">
        <v>1177</v>
      </c>
      <c r="H17" s="17" t="s">
        <v>1179</v>
      </c>
      <c r="I17" s="17" t="s">
        <v>1232</v>
      </c>
      <c r="J17" s="17" t="s">
        <v>1181</v>
      </c>
    </row>
  </sheetData>
  <mergeCells count="2">
    <mergeCell ref="A1:J1"/>
    <mergeCell ref="A2:J2"/>
  </mergeCells>
  <conditionalFormatting sqref="E6:E17">
    <cfRule type="containsText" priority="2" operator="containsText" aboveAverage="0" equalAverage="0" bottom="0" percent="0" rank="0" text="High" dxfId="56">
      <formula>NOT(ISERROR(SEARCH("High",E6)))</formula>
    </cfRule>
    <cfRule type="containsText" priority="3" operator="containsText" aboveAverage="0" equalAverage="0" bottom="0" percent="0" rank="0" text="Medium" dxfId="57">
      <formula>NOT(ISERROR(SEARCH("Medium",E6)))</formula>
    </cfRule>
  </conditionalFormatting>
  <conditionalFormatting sqref="J6:J17">
    <cfRule type="containsText" priority="4" operator="containsText" aboveAverage="0" equalAverage="0" bottom="0" percent="0" rank="0" text="PASS" dxfId="58">
      <formula>NOT(ISERROR(SEARCH("PASS",J6)))</formula>
    </cfRule>
    <cfRule type="containsText" priority="5" operator="containsText" aboveAverage="0" equalAverage="0" bottom="0" percent="0" rank="0" text="APPROVED" dxfId="59">
      <formula>NOT(ISERROR(SEARCH("APPROVED",J6)))</formula>
    </cfRule>
    <cfRule type="containsText" priority="6" operator="containsText" aboveAverage="0" equalAverage="0" bottom="0" percent="0" rank="0" text="FAIL" dxfId="60">
      <formula>NOT(ISERROR(SEARCH("FAIL",J6)))</formula>
    </cfRule>
    <cfRule type="containsText" priority="7" operator="containsText" aboveAverage="0" equalAverage="0" bottom="0" percent="0" rank="0" text="BLOCKED" dxfId="61">
      <formula>NOT(ISERROR(SEARCH("BLOCKED",J6)))</formula>
    </cfRule>
    <cfRule type="containsText" priority="8" operator="containsText" aboveAverage="0" equalAverage="0" bottom="0" percent="0" rank="0" text="OPEN" dxfId="62">
      <formula>NOT(ISERROR(SEARCH("OPEN",J6)))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32" hidden="false" customHeight="true" outlineLevel="0" collapsed="false">
      <c r="A1" s="1" t="s">
        <v>1233</v>
      </c>
      <c r="B1" s="1"/>
      <c r="C1" s="1"/>
      <c r="D1" s="1"/>
      <c r="E1" s="1"/>
      <c r="F1" s="1"/>
      <c r="G1" s="1"/>
    </row>
    <row r="2" customFormat="false" ht="28" hidden="false" customHeight="true" outlineLevel="0" collapsed="false">
      <c r="A2" s="2" t="s">
        <v>1234</v>
      </c>
      <c r="B2" s="2"/>
      <c r="C2" s="2"/>
      <c r="D2" s="2"/>
      <c r="E2" s="2"/>
      <c r="F2" s="2"/>
      <c r="G2" s="2"/>
    </row>
    <row r="5" customFormat="false" ht="30" hidden="false" customHeight="true" outlineLevel="0" collapsed="false">
      <c r="A5" s="12" t="s">
        <v>1235</v>
      </c>
      <c r="B5" s="13" t="s">
        <v>1236</v>
      </c>
      <c r="C5" s="13" t="s">
        <v>1237</v>
      </c>
      <c r="D5" s="13" t="s">
        <v>65</v>
      </c>
      <c r="E5" s="13" t="s">
        <v>1173</v>
      </c>
      <c r="F5" s="13" t="s">
        <v>64</v>
      </c>
      <c r="G5" s="14" t="s">
        <v>1238</v>
      </c>
    </row>
    <row r="6" customFormat="false" ht="36" hidden="false" customHeight="true" outlineLevel="0" collapsed="false">
      <c r="A6" s="15" t="s">
        <v>1239</v>
      </c>
      <c r="B6" s="15" t="s">
        <v>1240</v>
      </c>
      <c r="C6" s="15" t="s">
        <v>1241</v>
      </c>
      <c r="D6" s="15" t="s">
        <v>1242</v>
      </c>
      <c r="E6" s="15" t="s">
        <v>1243</v>
      </c>
      <c r="F6" s="15" t="s">
        <v>74</v>
      </c>
      <c r="G6" s="15" t="s">
        <v>79</v>
      </c>
    </row>
    <row r="7" customFormat="false" ht="36" hidden="false" customHeight="true" outlineLevel="0" collapsed="false">
      <c r="A7" s="17" t="s">
        <v>1244</v>
      </c>
      <c r="B7" s="17" t="s">
        <v>1245</v>
      </c>
      <c r="C7" s="17" t="s">
        <v>1246</v>
      </c>
      <c r="D7" s="17" t="s">
        <v>1247</v>
      </c>
      <c r="E7" s="17" t="s">
        <v>1199</v>
      </c>
      <c r="F7" s="17" t="s">
        <v>74</v>
      </c>
      <c r="G7" s="17" t="s">
        <v>1248</v>
      </c>
    </row>
    <row r="8" customFormat="false" ht="36" hidden="false" customHeight="true" outlineLevel="0" collapsed="false">
      <c r="A8" s="17" t="s">
        <v>1249</v>
      </c>
      <c r="B8" s="17" t="s">
        <v>1250</v>
      </c>
      <c r="C8" s="17" t="s">
        <v>1251</v>
      </c>
      <c r="D8" s="17" t="s">
        <v>1242</v>
      </c>
      <c r="E8" s="17" t="s">
        <v>1199</v>
      </c>
      <c r="F8" s="17" t="s">
        <v>74</v>
      </c>
      <c r="G8" s="17" t="s">
        <v>1248</v>
      </c>
    </row>
    <row r="9" customFormat="false" ht="36" hidden="false" customHeight="true" outlineLevel="0" collapsed="false">
      <c r="A9" s="17" t="s">
        <v>1252</v>
      </c>
      <c r="B9" s="17" t="s">
        <v>1253</v>
      </c>
      <c r="C9" s="17" t="s">
        <v>134</v>
      </c>
      <c r="D9" s="17" t="s">
        <v>1254</v>
      </c>
      <c r="E9" s="17" t="s">
        <v>1199</v>
      </c>
      <c r="F9" s="17" t="s">
        <v>74</v>
      </c>
      <c r="G9" s="17" t="s">
        <v>1255</v>
      </c>
    </row>
    <row r="10" customFormat="false" ht="36" hidden="false" customHeight="true" outlineLevel="0" collapsed="false">
      <c r="A10" s="17" t="s">
        <v>1256</v>
      </c>
      <c r="B10" s="17" t="s">
        <v>1257</v>
      </c>
      <c r="C10" s="17" t="s">
        <v>139</v>
      </c>
      <c r="D10" s="17" t="s">
        <v>1258</v>
      </c>
      <c r="E10" s="17" t="s">
        <v>1199</v>
      </c>
      <c r="F10" s="17" t="s">
        <v>74</v>
      </c>
      <c r="G10" s="17" t="s">
        <v>140</v>
      </c>
    </row>
    <row r="11" customFormat="false" ht="36" hidden="false" customHeight="true" outlineLevel="0" collapsed="false">
      <c r="A11" s="17" t="s">
        <v>1259</v>
      </c>
      <c r="B11" s="17" t="s">
        <v>1260</v>
      </c>
      <c r="C11" s="17" t="s">
        <v>155</v>
      </c>
      <c r="D11" s="17" t="s">
        <v>1261</v>
      </c>
      <c r="E11" s="17" t="s">
        <v>1199</v>
      </c>
      <c r="F11" s="17" t="s">
        <v>74</v>
      </c>
      <c r="G11" s="17" t="s">
        <v>156</v>
      </c>
    </row>
    <row r="12" customFormat="false" ht="36" hidden="false" customHeight="true" outlineLevel="0" collapsed="false">
      <c r="A12" s="17" t="s">
        <v>1262</v>
      </c>
      <c r="B12" s="17" t="s">
        <v>1263</v>
      </c>
      <c r="C12" s="17" t="s">
        <v>1264</v>
      </c>
      <c r="D12" s="17" t="s">
        <v>1254</v>
      </c>
      <c r="E12" s="17" t="s">
        <v>1243</v>
      </c>
      <c r="F12" s="17" t="s">
        <v>74</v>
      </c>
      <c r="G12" s="17" t="s">
        <v>164</v>
      </c>
    </row>
    <row r="13" customFormat="false" ht="36" hidden="false" customHeight="true" outlineLevel="0" collapsed="false">
      <c r="A13" s="17" t="s">
        <v>1265</v>
      </c>
      <c r="B13" s="17" t="s">
        <v>43</v>
      </c>
      <c r="C13" s="17" t="s">
        <v>1266</v>
      </c>
      <c r="D13" s="17" t="s">
        <v>1267</v>
      </c>
      <c r="E13" s="17" t="s">
        <v>1243</v>
      </c>
      <c r="F13" s="17" t="s">
        <v>74</v>
      </c>
      <c r="G13" s="17" t="s">
        <v>1268</v>
      </c>
    </row>
    <row r="14" customFormat="false" ht="36" hidden="false" customHeight="true" outlineLevel="0" collapsed="false">
      <c r="A14" s="17" t="s">
        <v>1269</v>
      </c>
      <c r="B14" s="17" t="s">
        <v>1270</v>
      </c>
      <c r="C14" s="17" t="s">
        <v>1271</v>
      </c>
      <c r="D14" s="17" t="s">
        <v>1272</v>
      </c>
      <c r="E14" s="17" t="s">
        <v>1179</v>
      </c>
      <c r="F14" s="17" t="s">
        <v>74</v>
      </c>
      <c r="G14" s="17" t="s">
        <v>1248</v>
      </c>
    </row>
    <row r="15" customFormat="false" ht="36" hidden="false" customHeight="true" outlineLevel="0" collapsed="false">
      <c r="A15" s="17" t="s">
        <v>1273</v>
      </c>
      <c r="B15" s="17" t="s">
        <v>1274</v>
      </c>
      <c r="C15" s="17" t="s">
        <v>1275</v>
      </c>
      <c r="D15" s="17" t="s">
        <v>1272</v>
      </c>
      <c r="E15" s="17" t="s">
        <v>1179</v>
      </c>
      <c r="F15" s="17" t="s">
        <v>74</v>
      </c>
      <c r="G15" s="17" t="s">
        <v>1248</v>
      </c>
    </row>
    <row r="16" customFormat="false" ht="36" hidden="false" customHeight="true" outlineLevel="0" collapsed="false">
      <c r="A16" s="17" t="s">
        <v>1276</v>
      </c>
      <c r="B16" s="17" t="s">
        <v>1277</v>
      </c>
      <c r="C16" s="17" t="s">
        <v>1278</v>
      </c>
      <c r="D16" s="17" t="s">
        <v>1279</v>
      </c>
      <c r="E16" s="17" t="s">
        <v>1179</v>
      </c>
      <c r="F16" s="17" t="s">
        <v>74</v>
      </c>
      <c r="G16" s="17" t="s">
        <v>1280</v>
      </c>
    </row>
    <row r="17" customFormat="false" ht="36" hidden="false" customHeight="true" outlineLevel="0" collapsed="false">
      <c r="A17" s="17" t="s">
        <v>1281</v>
      </c>
      <c r="B17" s="17" t="s">
        <v>1282</v>
      </c>
      <c r="C17" s="17" t="s">
        <v>1283</v>
      </c>
      <c r="D17" s="17" t="s">
        <v>1272</v>
      </c>
      <c r="E17" s="17" t="s">
        <v>1179</v>
      </c>
      <c r="F17" s="17" t="s">
        <v>74</v>
      </c>
      <c r="G17" s="17" t="s">
        <v>1284</v>
      </c>
    </row>
    <row r="18" customFormat="false" ht="36" hidden="false" customHeight="true" outlineLevel="0" collapsed="false">
      <c r="A18" s="17" t="s">
        <v>1285</v>
      </c>
      <c r="B18" s="17" t="s">
        <v>1286</v>
      </c>
      <c r="C18" s="17" t="s">
        <v>1287</v>
      </c>
      <c r="D18" s="17" t="s">
        <v>1272</v>
      </c>
      <c r="E18" s="17" t="s">
        <v>1179</v>
      </c>
      <c r="F18" s="17" t="s">
        <v>74</v>
      </c>
      <c r="G18" s="17" t="s">
        <v>1288</v>
      </c>
    </row>
    <row r="19" customFormat="false" ht="36" hidden="false" customHeight="true" outlineLevel="0" collapsed="false">
      <c r="A19" s="17" t="s">
        <v>1289</v>
      </c>
      <c r="B19" s="17" t="s">
        <v>1290</v>
      </c>
      <c r="C19" s="17" t="s">
        <v>1291</v>
      </c>
      <c r="D19" s="17" t="s">
        <v>1292</v>
      </c>
      <c r="E19" s="17" t="s">
        <v>1179</v>
      </c>
      <c r="F19" s="17" t="s">
        <v>74</v>
      </c>
      <c r="G19" s="17" t="s">
        <v>1288</v>
      </c>
    </row>
    <row r="20" customFormat="false" ht="36" hidden="false" customHeight="true" outlineLevel="0" collapsed="false">
      <c r="A20" s="17" t="s">
        <v>1293</v>
      </c>
      <c r="B20" s="17" t="s">
        <v>1294</v>
      </c>
      <c r="C20" s="17" t="s">
        <v>1295</v>
      </c>
      <c r="D20" s="17" t="s">
        <v>1242</v>
      </c>
      <c r="E20" s="17" t="s">
        <v>1243</v>
      </c>
      <c r="F20" s="17" t="s">
        <v>74</v>
      </c>
      <c r="G20" s="17" t="s">
        <v>1248</v>
      </c>
    </row>
    <row r="21" customFormat="false" ht="36" hidden="false" customHeight="true" outlineLevel="0" collapsed="false">
      <c r="A21" s="17" t="s">
        <v>1296</v>
      </c>
      <c r="B21" s="17" t="s">
        <v>1297</v>
      </c>
      <c r="C21" s="17" t="s">
        <v>1298</v>
      </c>
      <c r="D21" s="17" t="s">
        <v>95</v>
      </c>
      <c r="E21" s="17" t="s">
        <v>1299</v>
      </c>
      <c r="F21" s="17" t="s">
        <v>74</v>
      </c>
      <c r="G21" s="17" t="s">
        <v>1248</v>
      </c>
    </row>
    <row r="22" customFormat="false" ht="36" hidden="false" customHeight="true" outlineLevel="0" collapsed="false">
      <c r="A22" s="17" t="s">
        <v>1300</v>
      </c>
      <c r="B22" s="17" t="s">
        <v>1301</v>
      </c>
      <c r="C22" s="17" t="s">
        <v>1302</v>
      </c>
      <c r="D22" s="17" t="s">
        <v>1303</v>
      </c>
      <c r="E22" s="17" t="s">
        <v>1299</v>
      </c>
      <c r="F22" s="17" t="s">
        <v>74</v>
      </c>
      <c r="G22" s="17" t="s">
        <v>31</v>
      </c>
    </row>
    <row r="23" customFormat="false" ht="36" hidden="false" customHeight="true" outlineLevel="0" collapsed="false">
      <c r="A23" s="17" t="s">
        <v>1304</v>
      </c>
      <c r="B23" s="17" t="s">
        <v>1305</v>
      </c>
      <c r="C23" s="17" t="s">
        <v>1306</v>
      </c>
      <c r="D23" s="17" t="s">
        <v>1307</v>
      </c>
      <c r="E23" s="17" t="s">
        <v>1243</v>
      </c>
      <c r="F23" s="17" t="s">
        <v>74</v>
      </c>
      <c r="G23" s="17" t="s">
        <v>1308</v>
      </c>
    </row>
    <row r="24" customFormat="false" ht="36" hidden="false" customHeight="true" outlineLevel="0" collapsed="false">
      <c r="A24" s="17" t="s">
        <v>1309</v>
      </c>
      <c r="B24" s="17" t="s">
        <v>1310</v>
      </c>
      <c r="C24" s="17" t="s">
        <v>1311</v>
      </c>
      <c r="D24" s="17" t="s">
        <v>1312</v>
      </c>
      <c r="E24" s="17" t="s">
        <v>1313</v>
      </c>
      <c r="F24" s="17" t="s">
        <v>74</v>
      </c>
      <c r="G24" s="17" t="s">
        <v>1314</v>
      </c>
    </row>
    <row r="25" customFormat="false" ht="36" hidden="false" customHeight="true" outlineLevel="0" collapsed="false">
      <c r="A25" s="17" t="s">
        <v>1315</v>
      </c>
      <c r="B25" s="17" t="s">
        <v>1316</v>
      </c>
      <c r="C25" s="17" t="s">
        <v>1317</v>
      </c>
      <c r="D25" s="17" t="s">
        <v>1318</v>
      </c>
      <c r="E25" s="17" t="s">
        <v>1313</v>
      </c>
      <c r="F25" s="17" t="s">
        <v>74</v>
      </c>
      <c r="G25" s="17" t="s">
        <v>1314</v>
      </c>
    </row>
    <row r="26" customFormat="false" ht="36" hidden="false" customHeight="true" outlineLevel="0" collapsed="false">
      <c r="A26" s="17" t="s">
        <v>1319</v>
      </c>
      <c r="B26" s="17" t="s">
        <v>1320</v>
      </c>
      <c r="C26" s="17" t="s">
        <v>1321</v>
      </c>
      <c r="D26" s="17" t="s">
        <v>1322</v>
      </c>
      <c r="E26" s="17" t="s">
        <v>1313</v>
      </c>
      <c r="F26" s="17" t="s">
        <v>74</v>
      </c>
      <c r="G26" s="17" t="s">
        <v>1314</v>
      </c>
    </row>
    <row r="27" customFormat="false" ht="36" hidden="false" customHeight="true" outlineLevel="0" collapsed="false">
      <c r="A27" s="17" t="s">
        <v>1323</v>
      </c>
      <c r="B27" s="17" t="s">
        <v>1324</v>
      </c>
      <c r="C27" s="17" t="s">
        <v>1325</v>
      </c>
      <c r="D27" s="17" t="s">
        <v>1326</v>
      </c>
      <c r="E27" s="17" t="s">
        <v>1243</v>
      </c>
      <c r="F27" s="17" t="s">
        <v>74</v>
      </c>
      <c r="G27" s="17" t="s">
        <v>1327</v>
      </c>
    </row>
    <row r="28" customFormat="false" ht="36" hidden="false" customHeight="true" outlineLevel="0" collapsed="false">
      <c r="A28" s="17" t="s">
        <v>1328</v>
      </c>
      <c r="B28" s="17" t="s">
        <v>1329</v>
      </c>
      <c r="C28" s="17" t="s">
        <v>1330</v>
      </c>
      <c r="D28" s="17" t="s">
        <v>1331</v>
      </c>
      <c r="E28" s="17" t="s">
        <v>1243</v>
      </c>
      <c r="F28" s="17" t="s">
        <v>74</v>
      </c>
      <c r="G28" s="17" t="s">
        <v>1314</v>
      </c>
    </row>
    <row r="29" customFormat="false" ht="36" hidden="false" customHeight="true" outlineLevel="0" collapsed="false">
      <c r="A29" s="17" t="s">
        <v>1332</v>
      </c>
      <c r="B29" s="17" t="s">
        <v>1333</v>
      </c>
      <c r="C29" s="17" t="s">
        <v>1334</v>
      </c>
      <c r="D29" s="17" t="s">
        <v>1335</v>
      </c>
      <c r="E29" s="17" t="s">
        <v>1243</v>
      </c>
      <c r="F29" s="17" t="s">
        <v>74</v>
      </c>
      <c r="G29" s="17" t="s">
        <v>1314</v>
      </c>
    </row>
    <row r="30" customFormat="false" ht="36" hidden="false" customHeight="true" outlineLevel="0" collapsed="false">
      <c r="A30" s="17" t="s">
        <v>1336</v>
      </c>
      <c r="B30" s="17" t="s">
        <v>1337</v>
      </c>
      <c r="C30" s="17" t="s">
        <v>1334</v>
      </c>
      <c r="D30" s="17" t="s">
        <v>1338</v>
      </c>
      <c r="E30" s="17" t="s">
        <v>1313</v>
      </c>
      <c r="F30" s="17" t="s">
        <v>74</v>
      </c>
      <c r="G30" s="17" t="s">
        <v>1314</v>
      </c>
    </row>
    <row r="31" customFormat="false" ht="36" hidden="false" customHeight="true" outlineLevel="0" collapsed="false">
      <c r="A31" s="17" t="s">
        <v>1339</v>
      </c>
      <c r="B31" s="17" t="s">
        <v>1318</v>
      </c>
      <c r="C31" s="17" t="s">
        <v>1334</v>
      </c>
      <c r="D31" s="17" t="s">
        <v>1338</v>
      </c>
      <c r="E31" s="17" t="s">
        <v>1313</v>
      </c>
      <c r="F31" s="17" t="s">
        <v>74</v>
      </c>
      <c r="G31" s="17" t="s">
        <v>1314</v>
      </c>
    </row>
    <row r="32" customFormat="false" ht="36" hidden="false" customHeight="true" outlineLevel="0" collapsed="false">
      <c r="A32" s="17" t="s">
        <v>1340</v>
      </c>
      <c r="B32" s="17" t="s">
        <v>1341</v>
      </c>
      <c r="C32" s="17" t="s">
        <v>1342</v>
      </c>
      <c r="D32" s="17" t="s">
        <v>1338</v>
      </c>
      <c r="E32" s="17" t="s">
        <v>1205</v>
      </c>
      <c r="F32" s="17" t="s">
        <v>74</v>
      </c>
      <c r="G32" s="17" t="s">
        <v>1314</v>
      </c>
    </row>
    <row r="33" customFormat="false" ht="36" hidden="false" customHeight="true" outlineLevel="0" collapsed="false">
      <c r="A33" s="17" t="s">
        <v>1343</v>
      </c>
      <c r="B33" s="17" t="s">
        <v>1344</v>
      </c>
      <c r="C33" s="17" t="s">
        <v>1345</v>
      </c>
      <c r="D33" s="17" t="s">
        <v>1338</v>
      </c>
      <c r="E33" s="17" t="s">
        <v>1205</v>
      </c>
      <c r="F33" s="17" t="s">
        <v>74</v>
      </c>
      <c r="G33" s="17" t="s">
        <v>1314</v>
      </c>
    </row>
    <row r="34" customFormat="false" ht="36" hidden="false" customHeight="true" outlineLevel="0" collapsed="false">
      <c r="A34" s="17" t="s">
        <v>1346</v>
      </c>
      <c r="B34" s="17" t="s">
        <v>1347</v>
      </c>
      <c r="C34" s="17" t="s">
        <v>1348</v>
      </c>
      <c r="D34" s="17" t="s">
        <v>1349</v>
      </c>
      <c r="E34" s="17" t="s">
        <v>1350</v>
      </c>
      <c r="F34" s="17" t="s">
        <v>74</v>
      </c>
      <c r="G34" s="17" t="s">
        <v>1351</v>
      </c>
    </row>
    <row r="35" customFormat="false" ht="36" hidden="false" customHeight="true" outlineLevel="0" collapsed="false">
      <c r="A35" s="17" t="s">
        <v>1352</v>
      </c>
      <c r="B35" s="17" t="s">
        <v>1353</v>
      </c>
      <c r="C35" s="17" t="s">
        <v>1354</v>
      </c>
      <c r="D35" s="17" t="s">
        <v>1355</v>
      </c>
      <c r="E35" s="17" t="s">
        <v>1350</v>
      </c>
      <c r="F35" s="17" t="s">
        <v>74</v>
      </c>
      <c r="G35" s="17" t="s">
        <v>1356</v>
      </c>
    </row>
  </sheetData>
  <mergeCells count="2">
    <mergeCell ref="A1:G1"/>
    <mergeCell ref="A2:G2"/>
  </mergeCells>
  <conditionalFormatting sqref="F6:F35">
    <cfRule type="containsText" priority="2" operator="containsText" aboveAverage="0" equalAverage="0" bottom="0" percent="0" rank="0" text="PASS" dxfId="63">
      <formula>NOT(ISERROR(SEARCH("PASS",F6)))</formula>
    </cfRule>
    <cfRule type="containsText" priority="3" operator="containsText" aboveAverage="0" equalAverage="0" bottom="0" percent="0" rank="0" text="APPROVED" dxfId="64">
      <formula>NOT(ISERROR(SEARCH("APPROVED",F6)))</formula>
    </cfRule>
    <cfRule type="containsText" priority="4" operator="containsText" aboveAverage="0" equalAverage="0" bottom="0" percent="0" rank="0" text="FAIL" dxfId="65">
      <formula>NOT(ISERROR(SEARCH("FAIL",F6)))</formula>
    </cfRule>
    <cfRule type="containsText" priority="5" operator="containsText" aboveAverage="0" equalAverage="0" bottom="0" percent="0" rank="0" text="BLOCKED" dxfId="66">
      <formula>NOT(ISERROR(SEARCH("BLOCKED",F6)))</formula>
    </cfRule>
    <cfRule type="containsText" priority="6" operator="containsText" aboveAverage="0" equalAverage="0" bottom="0" percent="0" rank="0" text="OPEN" dxfId="67">
      <formula>NOT(ISERROR(SEARCH("OPEN",F6)))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7" min="4" style="0" width="13"/>
    <col collapsed="false" customWidth="true" hidden="false" outlineLevel="0" max="9" min="8" style="0" width="14"/>
    <col collapsed="false" customWidth="true" hidden="false" outlineLevel="0" max="10" min="10" style="0" width="34"/>
    <col collapsed="false" customWidth="true" hidden="false" outlineLevel="0" max="11" min="11" style="0" width="55"/>
  </cols>
  <sheetData>
    <row r="1" customFormat="false" ht="32" hidden="false" customHeight="true" outlineLevel="0" collapsed="false">
      <c r="A1" s="1" t="s">
        <v>1357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1358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0" hidden="false" customHeight="true" outlineLevel="0" collapsed="false">
      <c r="A5" s="12" t="s">
        <v>1359</v>
      </c>
      <c r="B5" s="13" t="s">
        <v>1360</v>
      </c>
      <c r="C5" s="13" t="s">
        <v>1361</v>
      </c>
      <c r="D5" s="13" t="s">
        <v>1362</v>
      </c>
      <c r="E5" s="13" t="s">
        <v>1363</v>
      </c>
      <c r="F5" s="13" t="s">
        <v>1364</v>
      </c>
      <c r="G5" s="13" t="s">
        <v>1365</v>
      </c>
      <c r="H5" s="13" t="s">
        <v>1366</v>
      </c>
      <c r="I5" s="13" t="s">
        <v>1367</v>
      </c>
      <c r="J5" s="13" t="s">
        <v>1368</v>
      </c>
      <c r="K5" s="14" t="s">
        <v>1369</v>
      </c>
    </row>
    <row r="6" customFormat="false" ht="42" hidden="false" customHeight="true" outlineLevel="0" collapsed="false">
      <c r="A6" s="15" t="s">
        <v>1370</v>
      </c>
      <c r="B6" s="15" t="s">
        <v>1371</v>
      </c>
      <c r="C6" s="15" t="s">
        <v>1372</v>
      </c>
      <c r="D6" s="15" t="n">
        <v>1120</v>
      </c>
      <c r="E6" s="15" t="n">
        <v>0</v>
      </c>
      <c r="F6" s="24" t="n">
        <v>0</v>
      </c>
      <c r="G6" s="15" t="n">
        <v>372</v>
      </c>
      <c r="H6" s="15"/>
      <c r="I6" s="15"/>
      <c r="J6" s="15" t="s">
        <v>1373</v>
      </c>
      <c r="K6" s="15" t="s">
        <v>1374</v>
      </c>
    </row>
    <row r="7" customFormat="false" ht="42" hidden="false" customHeight="true" outlineLevel="0" collapsed="false">
      <c r="A7" s="17" t="s">
        <v>1375</v>
      </c>
      <c r="B7" s="17" t="s">
        <v>1371</v>
      </c>
      <c r="C7" s="17" t="s">
        <v>1372</v>
      </c>
      <c r="D7" s="17" t="n">
        <v>1062</v>
      </c>
      <c r="E7" s="17" t="n">
        <v>58</v>
      </c>
      <c r="F7" s="25" t="n">
        <v>0.051786</v>
      </c>
      <c r="G7" s="17" t="n">
        <v>354</v>
      </c>
      <c r="H7" s="17"/>
      <c r="I7" s="17"/>
      <c r="J7" s="17" t="s">
        <v>1376</v>
      </c>
      <c r="K7" s="17" t="s">
        <v>1377</v>
      </c>
    </row>
    <row r="8" customFormat="false" ht="42" hidden="false" customHeight="true" outlineLevel="0" collapsed="false">
      <c r="A8" s="17" t="s">
        <v>1378</v>
      </c>
      <c r="B8" s="17" t="s">
        <v>1371</v>
      </c>
      <c r="C8" s="17" t="s">
        <v>1372</v>
      </c>
      <c r="D8" s="17" t="n">
        <v>1120</v>
      </c>
      <c r="E8" s="17" t="n">
        <v>0</v>
      </c>
      <c r="F8" s="25" t="n">
        <v>0</v>
      </c>
      <c r="G8" s="17" t="n">
        <v>1120</v>
      </c>
      <c r="H8" s="17"/>
      <c r="I8" s="17"/>
      <c r="J8" s="17" t="s">
        <v>1379</v>
      </c>
      <c r="K8" s="17" t="s">
        <v>1380</v>
      </c>
    </row>
    <row r="9" customFormat="false" ht="42" hidden="false" customHeight="true" outlineLevel="0" collapsed="false">
      <c r="A9" s="17" t="s">
        <v>321</v>
      </c>
      <c r="B9" s="17" t="s">
        <v>1371</v>
      </c>
      <c r="C9" s="17" t="s">
        <v>1372</v>
      </c>
      <c r="D9" s="17" t="n">
        <v>1120</v>
      </c>
      <c r="E9" s="17" t="n">
        <v>0</v>
      </c>
      <c r="F9" s="25" t="n">
        <v>0</v>
      </c>
      <c r="G9" s="17" t="n">
        <v>5</v>
      </c>
      <c r="H9" s="17"/>
      <c r="I9" s="17"/>
      <c r="J9" s="17" t="s">
        <v>1381</v>
      </c>
      <c r="K9" s="17" t="s">
        <v>1382</v>
      </c>
    </row>
    <row r="10" customFormat="false" ht="42" hidden="false" customHeight="true" outlineLevel="0" collapsed="false">
      <c r="A10" s="17" t="s">
        <v>395</v>
      </c>
      <c r="B10" s="17" t="s">
        <v>1371</v>
      </c>
      <c r="C10" s="17" t="s">
        <v>1372</v>
      </c>
      <c r="D10" s="17" t="n">
        <v>1120</v>
      </c>
      <c r="E10" s="17" t="n">
        <v>0</v>
      </c>
      <c r="F10" s="25" t="n">
        <v>0</v>
      </c>
      <c r="G10" s="17" t="n">
        <v>4</v>
      </c>
      <c r="H10" s="17"/>
      <c r="I10" s="17"/>
      <c r="J10" s="17" t="s">
        <v>1383</v>
      </c>
      <c r="K10" s="17" t="s">
        <v>1384</v>
      </c>
    </row>
    <row r="11" customFormat="false" ht="42" hidden="false" customHeight="true" outlineLevel="0" collapsed="false">
      <c r="A11" s="17" t="s">
        <v>381</v>
      </c>
      <c r="B11" s="17" t="s">
        <v>1371</v>
      </c>
      <c r="C11" s="17" t="s">
        <v>1372</v>
      </c>
      <c r="D11" s="17" t="n">
        <v>1120</v>
      </c>
      <c r="E11" s="17" t="n">
        <v>0</v>
      </c>
      <c r="F11" s="25" t="n">
        <v>0</v>
      </c>
      <c r="G11" s="17" t="n">
        <v>4</v>
      </c>
      <c r="H11" s="17"/>
      <c r="I11" s="17"/>
      <c r="J11" s="17" t="s">
        <v>1385</v>
      </c>
      <c r="K11" s="17" t="s">
        <v>1386</v>
      </c>
    </row>
    <row r="12" customFormat="false" ht="42" hidden="false" customHeight="true" outlineLevel="0" collapsed="false">
      <c r="A12" s="17" t="s">
        <v>1387</v>
      </c>
      <c r="B12" s="17" t="s">
        <v>1371</v>
      </c>
      <c r="C12" s="17" t="s">
        <v>1372</v>
      </c>
      <c r="D12" s="17" t="n">
        <v>1120</v>
      </c>
      <c r="E12" s="17" t="n">
        <v>0</v>
      </c>
      <c r="F12" s="25" t="n">
        <v>0</v>
      </c>
      <c r="G12" s="17" t="n">
        <v>3</v>
      </c>
      <c r="H12" s="17"/>
      <c r="I12" s="17"/>
      <c r="J12" s="17" t="s">
        <v>1388</v>
      </c>
      <c r="K12" s="17" t="s">
        <v>1389</v>
      </c>
    </row>
    <row r="13" customFormat="false" ht="42" hidden="false" customHeight="true" outlineLevel="0" collapsed="false">
      <c r="A13" s="17" t="s">
        <v>64</v>
      </c>
      <c r="B13" s="17" t="s">
        <v>1371</v>
      </c>
      <c r="C13" s="17" t="s">
        <v>1372</v>
      </c>
      <c r="D13" s="17" t="n">
        <v>1120</v>
      </c>
      <c r="E13" s="17" t="n">
        <v>0</v>
      </c>
      <c r="F13" s="25" t="n">
        <v>0</v>
      </c>
      <c r="G13" s="17" t="n">
        <v>4</v>
      </c>
      <c r="H13" s="17"/>
      <c r="I13" s="17"/>
      <c r="J13" s="17" t="s">
        <v>1390</v>
      </c>
      <c r="K13" s="17" t="s">
        <v>1391</v>
      </c>
    </row>
    <row r="14" customFormat="false" ht="42" hidden="false" customHeight="true" outlineLevel="0" collapsed="false">
      <c r="A14" s="17" t="s">
        <v>1392</v>
      </c>
      <c r="B14" s="17" t="s">
        <v>1371</v>
      </c>
      <c r="C14" s="17" t="s">
        <v>1393</v>
      </c>
      <c r="D14" s="17" t="n">
        <v>1120</v>
      </c>
      <c r="E14" s="17" t="n">
        <v>0</v>
      </c>
      <c r="F14" s="25" t="n">
        <v>0</v>
      </c>
      <c r="G14" s="17" t="n">
        <v>495</v>
      </c>
      <c r="H14" s="17" t="n">
        <v>1</v>
      </c>
      <c r="I14" s="17" t="n">
        <v>100</v>
      </c>
      <c r="J14" s="17" t="s">
        <v>1394</v>
      </c>
      <c r="K14" s="17" t="s">
        <v>1395</v>
      </c>
    </row>
    <row r="15" customFormat="false" ht="42" hidden="false" customHeight="true" outlineLevel="0" collapsed="false">
      <c r="A15" s="17" t="s">
        <v>1396</v>
      </c>
      <c r="B15" s="17" t="s">
        <v>1371</v>
      </c>
      <c r="C15" s="17" t="s">
        <v>1372</v>
      </c>
      <c r="D15" s="17" t="n">
        <v>1120</v>
      </c>
      <c r="E15" s="17" t="n">
        <v>0</v>
      </c>
      <c r="F15" s="25" t="n">
        <v>0</v>
      </c>
      <c r="G15" s="17" t="n">
        <v>576</v>
      </c>
      <c r="H15" s="17"/>
      <c r="I15" s="17"/>
      <c r="J15" s="17" t="s">
        <v>1397</v>
      </c>
      <c r="K15" s="17" t="s">
        <v>1398</v>
      </c>
    </row>
    <row r="16" customFormat="false" ht="42" hidden="false" customHeight="true" outlineLevel="0" collapsed="false">
      <c r="A16" s="17" t="s">
        <v>1399</v>
      </c>
      <c r="B16" s="17" t="s">
        <v>1371</v>
      </c>
      <c r="C16" s="17" t="s">
        <v>1393</v>
      </c>
      <c r="D16" s="17" t="n">
        <v>1120</v>
      </c>
      <c r="E16" s="17" t="n">
        <v>0</v>
      </c>
      <c r="F16" s="25" t="n">
        <v>0</v>
      </c>
      <c r="G16" s="17" t="n">
        <v>535</v>
      </c>
      <c r="H16" s="17" t="n">
        <v>1</v>
      </c>
      <c r="I16" s="17" t="n">
        <v>100</v>
      </c>
      <c r="J16" s="17" t="s">
        <v>1400</v>
      </c>
      <c r="K16" s="17" t="s">
        <v>1401</v>
      </c>
    </row>
    <row r="17" customFormat="false" ht="42" hidden="false" customHeight="true" outlineLevel="0" collapsed="false">
      <c r="A17" s="17" t="s">
        <v>1402</v>
      </c>
      <c r="B17" s="17" t="s">
        <v>1371</v>
      </c>
      <c r="C17" s="17" t="s">
        <v>1372</v>
      </c>
      <c r="D17" s="17" t="n">
        <v>1120</v>
      </c>
      <c r="E17" s="17" t="n">
        <v>0</v>
      </c>
      <c r="F17" s="25" t="n">
        <v>0</v>
      </c>
      <c r="G17" s="17" t="n">
        <v>565</v>
      </c>
      <c r="H17" s="17"/>
      <c r="I17" s="17"/>
      <c r="J17" s="17" t="s">
        <v>1403</v>
      </c>
      <c r="K17" s="17" t="s">
        <v>1404</v>
      </c>
    </row>
    <row r="18" customFormat="false" ht="42" hidden="false" customHeight="true" outlineLevel="0" collapsed="false">
      <c r="A18" s="17" t="s">
        <v>1405</v>
      </c>
      <c r="B18" s="17" t="s">
        <v>1371</v>
      </c>
      <c r="C18" s="17" t="s">
        <v>1393</v>
      </c>
      <c r="D18" s="17" t="n">
        <v>1120</v>
      </c>
      <c r="E18" s="17" t="n">
        <v>0</v>
      </c>
      <c r="F18" s="25" t="n">
        <v>0</v>
      </c>
      <c r="G18" s="17" t="n">
        <v>555</v>
      </c>
      <c r="H18" s="17" t="n">
        <v>1</v>
      </c>
      <c r="I18" s="17" t="n">
        <v>100</v>
      </c>
      <c r="J18" s="17" t="s">
        <v>1406</v>
      </c>
      <c r="K18" s="17" t="s">
        <v>1407</v>
      </c>
    </row>
    <row r="19" customFormat="false" ht="42" hidden="false" customHeight="true" outlineLevel="0" collapsed="false">
      <c r="A19" s="17" t="s">
        <v>1408</v>
      </c>
      <c r="B19" s="17" t="s">
        <v>1371</v>
      </c>
      <c r="C19" s="17" t="s">
        <v>1372</v>
      </c>
      <c r="D19" s="17" t="n">
        <v>1120</v>
      </c>
      <c r="E19" s="17" t="n">
        <v>0</v>
      </c>
      <c r="F19" s="25" t="n">
        <v>0</v>
      </c>
      <c r="G19" s="17" t="n">
        <v>571</v>
      </c>
      <c r="H19" s="17"/>
      <c r="I19" s="17"/>
      <c r="J19" s="17" t="s">
        <v>1409</v>
      </c>
      <c r="K19" s="17" t="s">
        <v>1410</v>
      </c>
    </row>
    <row r="20" customFormat="false" ht="42" hidden="false" customHeight="true" outlineLevel="0" collapsed="false">
      <c r="A20" s="17" t="s">
        <v>1411</v>
      </c>
      <c r="B20" s="17" t="s">
        <v>1371</v>
      </c>
      <c r="C20" s="17" t="s">
        <v>1393</v>
      </c>
      <c r="D20" s="17" t="n">
        <v>1120</v>
      </c>
      <c r="E20" s="17" t="n">
        <v>0</v>
      </c>
      <c r="F20" s="25" t="n">
        <v>0</v>
      </c>
      <c r="G20" s="17" t="n">
        <v>569</v>
      </c>
      <c r="H20" s="17" t="n">
        <v>1.2</v>
      </c>
      <c r="I20" s="17" t="n">
        <v>100</v>
      </c>
      <c r="J20" s="17" t="s">
        <v>1412</v>
      </c>
      <c r="K20" s="17" t="s">
        <v>1413</v>
      </c>
    </row>
    <row r="21" customFormat="false" ht="42" hidden="false" customHeight="true" outlineLevel="0" collapsed="false">
      <c r="A21" s="17" t="s">
        <v>1414</v>
      </c>
      <c r="B21" s="17" t="s">
        <v>1371</v>
      </c>
      <c r="C21" s="17" t="s">
        <v>1372</v>
      </c>
      <c r="D21" s="17" t="n">
        <v>1120</v>
      </c>
      <c r="E21" s="17" t="n">
        <v>0</v>
      </c>
      <c r="F21" s="25" t="n">
        <v>0</v>
      </c>
      <c r="G21" s="17" t="n">
        <v>648</v>
      </c>
      <c r="H21" s="17"/>
      <c r="I21" s="17"/>
      <c r="J21" s="17" t="s">
        <v>1415</v>
      </c>
      <c r="K21" s="17" t="s">
        <v>1416</v>
      </c>
    </row>
    <row r="22" customFormat="false" ht="42" hidden="false" customHeight="true" outlineLevel="0" collapsed="false">
      <c r="A22" s="17" t="s">
        <v>1417</v>
      </c>
      <c r="B22" s="17" t="s">
        <v>1371</v>
      </c>
      <c r="C22" s="17" t="s">
        <v>1393</v>
      </c>
      <c r="D22" s="17" t="n">
        <v>1073</v>
      </c>
      <c r="E22" s="17" t="n">
        <v>47</v>
      </c>
      <c r="F22" s="25" t="n">
        <v>0.041964</v>
      </c>
      <c r="G22" s="17" t="n">
        <v>522</v>
      </c>
      <c r="H22" s="17" t="n">
        <v>1</v>
      </c>
      <c r="I22" s="17" t="n">
        <v>100</v>
      </c>
      <c r="J22" s="17" t="s">
        <v>1418</v>
      </c>
      <c r="K22" s="17" t="s">
        <v>1419</v>
      </c>
    </row>
    <row r="23" customFormat="false" ht="42" hidden="false" customHeight="true" outlineLevel="0" collapsed="false">
      <c r="A23" s="17" t="s">
        <v>1420</v>
      </c>
      <c r="B23" s="17" t="s">
        <v>1371</v>
      </c>
      <c r="C23" s="17" t="s">
        <v>1372</v>
      </c>
      <c r="D23" s="17" t="n">
        <v>1073</v>
      </c>
      <c r="E23" s="17" t="n">
        <v>47</v>
      </c>
      <c r="F23" s="25" t="n">
        <v>0.041964</v>
      </c>
      <c r="G23" s="17" t="n">
        <v>628</v>
      </c>
      <c r="H23" s="17"/>
      <c r="I23" s="17"/>
      <c r="J23" s="17" t="s">
        <v>1421</v>
      </c>
      <c r="K23" s="17" t="s">
        <v>1422</v>
      </c>
    </row>
    <row r="24" customFormat="false" ht="42" hidden="false" customHeight="true" outlineLevel="0" collapsed="false">
      <c r="A24" s="17" t="s">
        <v>1423</v>
      </c>
      <c r="B24" s="17" t="s">
        <v>1371</v>
      </c>
      <c r="C24" s="17" t="s">
        <v>1393</v>
      </c>
      <c r="D24" s="17" t="n">
        <v>1100</v>
      </c>
      <c r="E24" s="17" t="n">
        <v>20</v>
      </c>
      <c r="F24" s="25" t="n">
        <v>0.017857</v>
      </c>
      <c r="G24" s="17" t="n">
        <v>540</v>
      </c>
      <c r="H24" s="17" t="n">
        <v>1</v>
      </c>
      <c r="I24" s="17" t="n">
        <v>100</v>
      </c>
      <c r="J24" s="17" t="s">
        <v>1424</v>
      </c>
      <c r="K24" s="17" t="s">
        <v>1425</v>
      </c>
    </row>
    <row r="25" customFormat="false" ht="42" hidden="false" customHeight="true" outlineLevel="0" collapsed="false">
      <c r="A25" s="17" t="s">
        <v>1426</v>
      </c>
      <c r="B25" s="17" t="s">
        <v>1371</v>
      </c>
      <c r="C25" s="17" t="s">
        <v>1372</v>
      </c>
      <c r="D25" s="17" t="n">
        <v>1100</v>
      </c>
      <c r="E25" s="17" t="n">
        <v>20</v>
      </c>
      <c r="F25" s="25" t="n">
        <v>0.017857</v>
      </c>
      <c r="G25" s="17" t="n">
        <v>625</v>
      </c>
      <c r="H25" s="17"/>
      <c r="I25" s="17"/>
      <c r="J25" s="17" t="s">
        <v>1427</v>
      </c>
      <c r="K25" s="17" t="s">
        <v>1428</v>
      </c>
    </row>
    <row r="26" customFormat="false" ht="42" hidden="false" customHeight="true" outlineLevel="0" collapsed="false">
      <c r="A26" s="17" t="s">
        <v>1429</v>
      </c>
      <c r="B26" s="17" t="s">
        <v>1371</v>
      </c>
      <c r="C26" s="17" t="s">
        <v>1393</v>
      </c>
      <c r="D26" s="17" t="n">
        <v>1100</v>
      </c>
      <c r="E26" s="17" t="n">
        <v>20</v>
      </c>
      <c r="F26" s="25" t="n">
        <v>0.017857</v>
      </c>
      <c r="G26" s="17" t="n">
        <v>560</v>
      </c>
      <c r="H26" s="17" t="n">
        <v>1</v>
      </c>
      <c r="I26" s="17" t="n">
        <v>100</v>
      </c>
      <c r="J26" s="17" t="s">
        <v>1430</v>
      </c>
      <c r="K26" s="17" t="s">
        <v>1431</v>
      </c>
    </row>
    <row r="27" customFormat="false" ht="42" hidden="false" customHeight="true" outlineLevel="0" collapsed="false">
      <c r="A27" s="17" t="s">
        <v>1432</v>
      </c>
      <c r="B27" s="17" t="s">
        <v>1371</v>
      </c>
      <c r="C27" s="17" t="s">
        <v>1372</v>
      </c>
      <c r="D27" s="17" t="n">
        <v>1100</v>
      </c>
      <c r="E27" s="17" t="n">
        <v>20</v>
      </c>
      <c r="F27" s="25" t="n">
        <v>0.017857</v>
      </c>
      <c r="G27" s="17" t="n">
        <v>635</v>
      </c>
      <c r="H27" s="17"/>
      <c r="I27" s="17"/>
      <c r="J27" s="17" t="s">
        <v>1433</v>
      </c>
      <c r="K27" s="17" t="s">
        <v>1434</v>
      </c>
    </row>
    <row r="28" customFormat="false" ht="42" hidden="false" customHeight="true" outlineLevel="0" collapsed="false">
      <c r="A28" s="17" t="s">
        <v>1435</v>
      </c>
      <c r="B28" s="17" t="s">
        <v>1371</v>
      </c>
      <c r="C28" s="17" t="s">
        <v>1393</v>
      </c>
      <c r="D28" s="17" t="n">
        <v>1120</v>
      </c>
      <c r="E28" s="17" t="n">
        <v>0</v>
      </c>
      <c r="F28" s="25" t="n">
        <v>0</v>
      </c>
      <c r="G28" s="17" t="n">
        <v>647</v>
      </c>
      <c r="H28" s="17" t="n">
        <v>3.3</v>
      </c>
      <c r="I28" s="17" t="n">
        <v>100</v>
      </c>
      <c r="J28" s="17" t="s">
        <v>1436</v>
      </c>
      <c r="K28" s="17" t="s">
        <v>1437</v>
      </c>
    </row>
    <row r="29" customFormat="false" ht="42" hidden="false" customHeight="true" outlineLevel="0" collapsed="false">
      <c r="A29" s="17" t="s">
        <v>1438</v>
      </c>
      <c r="B29" s="17" t="s">
        <v>1371</v>
      </c>
      <c r="C29" s="17" t="s">
        <v>1372</v>
      </c>
      <c r="D29" s="17" t="n">
        <v>1120</v>
      </c>
      <c r="E29" s="17" t="n">
        <v>0</v>
      </c>
      <c r="F29" s="25" t="n">
        <v>0</v>
      </c>
      <c r="G29" s="17" t="n">
        <v>661</v>
      </c>
      <c r="H29" s="17"/>
      <c r="I29" s="17"/>
      <c r="J29" s="17" t="s">
        <v>1439</v>
      </c>
      <c r="K29" s="17" t="s">
        <v>1440</v>
      </c>
    </row>
    <row r="30" customFormat="false" ht="42" hidden="false" customHeight="true" outlineLevel="0" collapsed="false">
      <c r="A30" s="17" t="s">
        <v>1441</v>
      </c>
      <c r="B30" s="17" t="s">
        <v>1371</v>
      </c>
      <c r="C30" s="17" t="s">
        <v>1393</v>
      </c>
      <c r="D30" s="17" t="n">
        <v>1120</v>
      </c>
      <c r="E30" s="17" t="n">
        <v>0</v>
      </c>
      <c r="F30" s="25" t="n">
        <v>0</v>
      </c>
      <c r="G30" s="17" t="n">
        <v>555</v>
      </c>
      <c r="H30" s="17" t="n">
        <v>1.2</v>
      </c>
      <c r="I30" s="17" t="n">
        <v>100</v>
      </c>
      <c r="J30" s="17" t="s">
        <v>1442</v>
      </c>
      <c r="K30" s="17" t="s">
        <v>1443</v>
      </c>
    </row>
    <row r="31" customFormat="false" ht="42" hidden="false" customHeight="true" outlineLevel="0" collapsed="false">
      <c r="A31" s="17" t="s">
        <v>1444</v>
      </c>
      <c r="B31" s="17" t="s">
        <v>1371</v>
      </c>
      <c r="C31" s="17" t="s">
        <v>1372</v>
      </c>
      <c r="D31" s="17" t="n">
        <v>1120</v>
      </c>
      <c r="E31" s="17" t="n">
        <v>0</v>
      </c>
      <c r="F31" s="25" t="n">
        <v>0</v>
      </c>
      <c r="G31" s="17" t="n">
        <v>630</v>
      </c>
      <c r="H31" s="17"/>
      <c r="I31" s="17"/>
      <c r="J31" s="17" t="s">
        <v>1445</v>
      </c>
      <c r="K31" s="17" t="s">
        <v>1446</v>
      </c>
    </row>
    <row r="32" customFormat="false" ht="42" hidden="false" customHeight="true" outlineLevel="0" collapsed="false">
      <c r="A32" s="17" t="s">
        <v>1447</v>
      </c>
      <c r="B32" s="17" t="s">
        <v>1371</v>
      </c>
      <c r="C32" s="17" t="s">
        <v>1393</v>
      </c>
      <c r="D32" s="17" t="n">
        <v>1118</v>
      </c>
      <c r="E32" s="17" t="n">
        <v>2</v>
      </c>
      <c r="F32" s="25" t="n">
        <v>0.001786</v>
      </c>
      <c r="G32" s="17" t="n">
        <v>583</v>
      </c>
      <c r="H32" s="17" t="n">
        <v>3</v>
      </c>
      <c r="I32" s="17" t="n">
        <v>100</v>
      </c>
      <c r="J32" s="17" t="s">
        <v>1448</v>
      </c>
      <c r="K32" s="17" t="s">
        <v>1449</v>
      </c>
    </row>
    <row r="33" customFormat="false" ht="42" hidden="false" customHeight="true" outlineLevel="0" collapsed="false">
      <c r="A33" s="17" t="s">
        <v>1450</v>
      </c>
      <c r="B33" s="17" t="s">
        <v>1371</v>
      </c>
      <c r="C33" s="17" t="s">
        <v>1372</v>
      </c>
      <c r="D33" s="17" t="n">
        <v>1118</v>
      </c>
      <c r="E33" s="17" t="n">
        <v>2</v>
      </c>
      <c r="F33" s="25" t="n">
        <v>0.001786</v>
      </c>
      <c r="G33" s="17" t="n">
        <v>363</v>
      </c>
      <c r="H33" s="17"/>
      <c r="I33" s="17"/>
      <c r="J33" s="17" t="s">
        <v>1451</v>
      </c>
      <c r="K33" s="17" t="s">
        <v>1452</v>
      </c>
    </row>
    <row r="34" customFormat="false" ht="42" hidden="false" customHeight="true" outlineLevel="0" collapsed="false">
      <c r="A34" s="17" t="s">
        <v>1453</v>
      </c>
      <c r="B34" s="17" t="s">
        <v>1371</v>
      </c>
      <c r="C34" s="17" t="s">
        <v>1393</v>
      </c>
      <c r="D34" s="17" t="n">
        <v>583</v>
      </c>
      <c r="E34" s="17" t="n">
        <v>537</v>
      </c>
      <c r="F34" s="25" t="n">
        <v>0.479464</v>
      </c>
      <c r="G34" s="17" t="n">
        <v>355</v>
      </c>
      <c r="H34" s="17" t="n">
        <v>25.1</v>
      </c>
      <c r="I34" s="17" t="n">
        <v>100</v>
      </c>
      <c r="J34" s="17" t="s">
        <v>1454</v>
      </c>
      <c r="K34" s="17" t="s">
        <v>1455</v>
      </c>
    </row>
    <row r="35" customFormat="false" ht="42" hidden="false" customHeight="true" outlineLevel="0" collapsed="false">
      <c r="A35" s="17" t="s">
        <v>1456</v>
      </c>
      <c r="B35" s="17" t="s">
        <v>1371</v>
      </c>
      <c r="C35" s="17" t="s">
        <v>1457</v>
      </c>
      <c r="D35" s="17" t="n">
        <v>1120</v>
      </c>
      <c r="E35" s="17" t="n">
        <v>0</v>
      </c>
      <c r="F35" s="25" t="n">
        <v>0</v>
      </c>
      <c r="G35" s="17" t="n">
        <v>1116</v>
      </c>
      <c r="H35" s="17" t="n">
        <v>1</v>
      </c>
      <c r="I35" s="17" t="n">
        <v>2171</v>
      </c>
      <c r="J35" s="17" t="s">
        <v>1458</v>
      </c>
      <c r="K35" s="17" t="s">
        <v>1459</v>
      </c>
    </row>
    <row r="36" customFormat="false" ht="42" hidden="false" customHeight="true" outlineLevel="0" collapsed="false">
      <c r="A36" s="17" t="s">
        <v>1460</v>
      </c>
      <c r="B36" s="17" t="s">
        <v>1371</v>
      </c>
      <c r="C36" s="17" t="s">
        <v>1457</v>
      </c>
      <c r="D36" s="17" t="n">
        <v>1120</v>
      </c>
      <c r="E36" s="17" t="n">
        <v>0</v>
      </c>
      <c r="F36" s="25" t="n">
        <v>0</v>
      </c>
      <c r="G36" s="17" t="n">
        <v>1100</v>
      </c>
      <c r="H36" s="17" t="n">
        <v>942</v>
      </c>
      <c r="I36" s="17" t="n">
        <v>281032</v>
      </c>
      <c r="J36" s="17" t="s">
        <v>1461</v>
      </c>
      <c r="K36" s="17" t="s">
        <v>1462</v>
      </c>
    </row>
    <row r="37" customFormat="false" ht="42" hidden="false" customHeight="true" outlineLevel="0" collapsed="false">
      <c r="A37" s="17" t="s">
        <v>1463</v>
      </c>
      <c r="B37" s="17" t="s">
        <v>1371</v>
      </c>
      <c r="C37" s="17" t="s">
        <v>1393</v>
      </c>
      <c r="D37" s="17" t="n">
        <v>1120</v>
      </c>
      <c r="E37" s="17" t="n">
        <v>0</v>
      </c>
      <c r="F37" s="25" t="n">
        <v>0</v>
      </c>
      <c r="G37" s="17" t="n">
        <v>289</v>
      </c>
      <c r="H37" s="17" t="n">
        <v>3.4</v>
      </c>
      <c r="I37" s="17" t="n">
        <v>84.5</v>
      </c>
      <c r="J37" s="17" t="s">
        <v>1464</v>
      </c>
      <c r="K37" s="17" t="s">
        <v>1465</v>
      </c>
    </row>
    <row r="38" customFormat="false" ht="42" hidden="false" customHeight="true" outlineLevel="0" collapsed="false">
      <c r="A38" s="17" t="s">
        <v>1466</v>
      </c>
      <c r="B38" s="17" t="s">
        <v>1371</v>
      </c>
      <c r="C38" s="17" t="s">
        <v>1393</v>
      </c>
      <c r="D38" s="17" t="n">
        <v>1120</v>
      </c>
      <c r="E38" s="17" t="n">
        <v>0</v>
      </c>
      <c r="F38" s="25" t="n">
        <v>0</v>
      </c>
      <c r="G38" s="17" t="n">
        <v>66</v>
      </c>
      <c r="H38" s="17" t="n">
        <v>0</v>
      </c>
      <c r="I38" s="17" t="n">
        <v>0.81</v>
      </c>
      <c r="J38" s="17" t="s">
        <v>1467</v>
      </c>
      <c r="K38" s="17" t="s">
        <v>1468</v>
      </c>
    </row>
    <row r="39" customFormat="false" ht="42" hidden="false" customHeight="true" outlineLevel="0" collapsed="false">
      <c r="A39" s="17" t="s">
        <v>1469</v>
      </c>
      <c r="B39" s="17" t="s">
        <v>1371</v>
      </c>
      <c r="C39" s="17" t="s">
        <v>1372</v>
      </c>
      <c r="D39" s="17" t="n">
        <v>1120</v>
      </c>
      <c r="E39" s="17" t="n">
        <v>0</v>
      </c>
      <c r="F39" s="25" t="n">
        <v>0</v>
      </c>
      <c r="G39" s="17" t="n">
        <v>64</v>
      </c>
      <c r="H39" s="17"/>
      <c r="I39" s="17"/>
      <c r="J39" s="17" t="s">
        <v>1470</v>
      </c>
      <c r="K39" s="17" t="s">
        <v>1471</v>
      </c>
    </row>
    <row r="40" customFormat="false" ht="42" hidden="false" customHeight="true" outlineLevel="0" collapsed="false">
      <c r="A40" s="17" t="s">
        <v>1472</v>
      </c>
      <c r="B40" s="17" t="s">
        <v>1371</v>
      </c>
      <c r="C40" s="17" t="s">
        <v>1393</v>
      </c>
      <c r="D40" s="17" t="n">
        <v>1120</v>
      </c>
      <c r="E40" s="17" t="n">
        <v>0</v>
      </c>
      <c r="F40" s="25" t="n">
        <v>0</v>
      </c>
      <c r="G40" s="17" t="n">
        <v>1116</v>
      </c>
      <c r="H40" s="17" t="n">
        <v>13.3725</v>
      </c>
      <c r="I40" s="17" t="n">
        <v>98.21</v>
      </c>
      <c r="J40" s="17" t="s">
        <v>1473</v>
      </c>
      <c r="K40" s="17" t="s">
        <v>1474</v>
      </c>
    </row>
    <row r="41" customFormat="false" ht="42" hidden="false" customHeight="true" outlineLevel="0" collapsed="false">
      <c r="A41" s="17" t="s">
        <v>1475</v>
      </c>
      <c r="B41" s="17" t="s">
        <v>1371</v>
      </c>
      <c r="C41" s="17" t="s">
        <v>1393</v>
      </c>
      <c r="D41" s="17" t="n">
        <v>1120</v>
      </c>
      <c r="E41" s="17" t="n">
        <v>0</v>
      </c>
      <c r="F41" s="25" t="n">
        <v>0</v>
      </c>
      <c r="G41" s="17" t="n">
        <v>445</v>
      </c>
      <c r="H41" s="17" t="n">
        <v>10.4</v>
      </c>
      <c r="I41" s="17" t="n">
        <v>99.2</v>
      </c>
      <c r="J41" s="17" t="s">
        <v>1476</v>
      </c>
      <c r="K41" s="17" t="s">
        <v>1477</v>
      </c>
    </row>
    <row r="42" customFormat="false" ht="42" hidden="false" customHeight="true" outlineLevel="0" collapsed="false">
      <c r="A42" s="17" t="s">
        <v>1478</v>
      </c>
      <c r="B42" s="17" t="s">
        <v>1371</v>
      </c>
      <c r="C42" s="17" t="s">
        <v>1393</v>
      </c>
      <c r="D42" s="17" t="n">
        <v>1120</v>
      </c>
      <c r="E42" s="17" t="n">
        <v>0</v>
      </c>
      <c r="F42" s="25" t="n">
        <v>0</v>
      </c>
      <c r="G42" s="17" t="n">
        <v>446</v>
      </c>
      <c r="H42" s="17" t="n">
        <v>6.8</v>
      </c>
      <c r="I42" s="17" t="n">
        <v>100</v>
      </c>
      <c r="J42" s="17" t="s">
        <v>1479</v>
      </c>
      <c r="K42" s="17" t="s">
        <v>1480</v>
      </c>
    </row>
    <row r="43" customFormat="false" ht="42" hidden="false" customHeight="true" outlineLevel="0" collapsed="false">
      <c r="A43" s="17" t="s">
        <v>1481</v>
      </c>
      <c r="B43" s="17" t="s">
        <v>1371</v>
      </c>
      <c r="C43" s="17" t="s">
        <v>1393</v>
      </c>
      <c r="D43" s="17" t="n">
        <v>1120</v>
      </c>
      <c r="E43" s="17" t="n">
        <v>0</v>
      </c>
      <c r="F43" s="25" t="n">
        <v>0</v>
      </c>
      <c r="G43" s="17" t="n">
        <v>620</v>
      </c>
      <c r="H43" s="17" t="n">
        <v>5.7</v>
      </c>
      <c r="I43" s="17" t="n">
        <v>99.6</v>
      </c>
      <c r="J43" s="17" t="s">
        <v>1482</v>
      </c>
      <c r="K43" s="17" t="s">
        <v>1483</v>
      </c>
    </row>
    <row r="44" customFormat="false" ht="42" hidden="false" customHeight="true" outlineLevel="0" collapsed="false">
      <c r="A44" s="17" t="s">
        <v>1484</v>
      </c>
      <c r="B44" s="17" t="s">
        <v>1371</v>
      </c>
      <c r="C44" s="17" t="s">
        <v>1393</v>
      </c>
      <c r="D44" s="17" t="n">
        <v>1120</v>
      </c>
      <c r="E44" s="17" t="n">
        <v>0</v>
      </c>
      <c r="F44" s="25" t="n">
        <v>0</v>
      </c>
      <c r="G44" s="17" t="n">
        <v>592</v>
      </c>
      <c r="H44" s="17" t="n">
        <v>16.3</v>
      </c>
      <c r="I44" s="17" t="n">
        <v>100</v>
      </c>
      <c r="J44" s="17" t="s">
        <v>1485</v>
      </c>
      <c r="K44" s="17" t="s">
        <v>1486</v>
      </c>
    </row>
    <row r="45" customFormat="false" ht="42" hidden="false" customHeight="true" outlineLevel="0" collapsed="false">
      <c r="A45" s="17" t="s">
        <v>1487</v>
      </c>
      <c r="B45" s="17" t="s">
        <v>1371</v>
      </c>
      <c r="C45" s="17" t="s">
        <v>1393</v>
      </c>
      <c r="D45" s="17" t="n">
        <v>1120</v>
      </c>
      <c r="E45" s="17" t="n">
        <v>0</v>
      </c>
      <c r="F45" s="25" t="n">
        <v>0</v>
      </c>
      <c r="G45" s="17" t="n">
        <v>588</v>
      </c>
      <c r="H45" s="17" t="n">
        <v>19.2</v>
      </c>
      <c r="I45" s="17" t="n">
        <v>99.5</v>
      </c>
      <c r="J45" s="17" t="s">
        <v>1488</v>
      </c>
      <c r="K45" s="17" t="s">
        <v>1489</v>
      </c>
    </row>
    <row r="46" customFormat="false" ht="42" hidden="false" customHeight="true" outlineLevel="0" collapsed="false">
      <c r="A46" s="17" t="s">
        <v>1490</v>
      </c>
      <c r="B46" s="17" t="s">
        <v>1371</v>
      </c>
      <c r="C46" s="17" t="s">
        <v>1457</v>
      </c>
      <c r="D46" s="17" t="n">
        <v>1120</v>
      </c>
      <c r="E46" s="17" t="n">
        <v>0</v>
      </c>
      <c r="F46" s="25" t="n">
        <v>0</v>
      </c>
      <c r="G46" s="17" t="n">
        <v>1</v>
      </c>
      <c r="H46" s="17" t="n">
        <v>2026</v>
      </c>
      <c r="I46" s="17" t="n">
        <v>2026</v>
      </c>
      <c r="J46" s="17" t="s">
        <v>1491</v>
      </c>
      <c r="K46" s="17" t="s">
        <v>1492</v>
      </c>
    </row>
    <row r="47" customFormat="false" ht="42" hidden="false" customHeight="true" outlineLevel="0" collapsed="false">
      <c r="A47" s="17" t="s">
        <v>316</v>
      </c>
      <c r="B47" s="17" t="s">
        <v>1371</v>
      </c>
      <c r="C47" s="17" t="s">
        <v>1372</v>
      </c>
      <c r="D47" s="17" t="n">
        <v>1120</v>
      </c>
      <c r="E47" s="17" t="n">
        <v>0</v>
      </c>
      <c r="F47" s="25" t="n">
        <v>0</v>
      </c>
      <c r="G47" s="17" t="n">
        <v>93</v>
      </c>
      <c r="H47" s="17"/>
      <c r="I47" s="17"/>
      <c r="J47" s="17" t="s">
        <v>1493</v>
      </c>
      <c r="K47" s="17" t="s">
        <v>1494</v>
      </c>
    </row>
    <row r="48" customFormat="false" ht="42" hidden="false" customHeight="true" outlineLevel="0" collapsed="false">
      <c r="A48" s="17" t="s">
        <v>1495</v>
      </c>
      <c r="B48" s="17" t="s">
        <v>1496</v>
      </c>
      <c r="C48" s="17" t="s">
        <v>1393</v>
      </c>
      <c r="D48" s="17" t="n">
        <v>1120</v>
      </c>
      <c r="E48" s="17" t="n">
        <v>0</v>
      </c>
      <c r="F48" s="25" t="n">
        <v>0</v>
      </c>
      <c r="G48" s="17" t="n">
        <v>372</v>
      </c>
      <c r="H48" s="17" t="n">
        <v>0</v>
      </c>
      <c r="I48" s="17" t="n">
        <v>100</v>
      </c>
      <c r="J48" s="17" t="s">
        <v>1497</v>
      </c>
      <c r="K48" s="17" t="s">
        <v>1498</v>
      </c>
    </row>
    <row r="49" customFormat="false" ht="42" hidden="false" customHeight="true" outlineLevel="0" collapsed="false">
      <c r="A49" s="17" t="s">
        <v>1499</v>
      </c>
      <c r="B49" s="17" t="s">
        <v>1496</v>
      </c>
      <c r="C49" s="17" t="s">
        <v>1393</v>
      </c>
      <c r="D49" s="17" t="n">
        <v>1120</v>
      </c>
      <c r="E49" s="17" t="n">
        <v>0</v>
      </c>
      <c r="F49" s="25" t="n">
        <v>0</v>
      </c>
      <c r="G49" s="17" t="n">
        <v>1116</v>
      </c>
      <c r="H49" s="17" t="n">
        <v>0</v>
      </c>
      <c r="I49" s="17" t="n">
        <v>100</v>
      </c>
      <c r="J49" s="17" t="s">
        <v>1500</v>
      </c>
      <c r="K49" s="17" t="s">
        <v>1501</v>
      </c>
    </row>
    <row r="50" customFormat="false" ht="42" hidden="false" customHeight="true" outlineLevel="0" collapsed="false">
      <c r="A50" s="17" t="s">
        <v>1009</v>
      </c>
      <c r="B50" s="17" t="s">
        <v>1502</v>
      </c>
      <c r="C50" s="17" t="s">
        <v>1393</v>
      </c>
      <c r="D50" s="17" t="n">
        <v>1120</v>
      </c>
      <c r="E50" s="17" t="n">
        <v>0</v>
      </c>
      <c r="F50" s="25" t="n">
        <v>0</v>
      </c>
      <c r="G50" s="17" t="n">
        <v>1096</v>
      </c>
      <c r="H50" s="17" t="n">
        <v>0.67</v>
      </c>
      <c r="I50" s="17" t="n">
        <v>99.975</v>
      </c>
      <c r="J50" s="17" t="s">
        <v>1503</v>
      </c>
      <c r="K50" s="17" t="s">
        <v>1504</v>
      </c>
    </row>
    <row r="51" customFormat="false" ht="42" hidden="false" customHeight="true" outlineLevel="0" collapsed="false">
      <c r="A51" s="17" t="s">
        <v>1012</v>
      </c>
      <c r="B51" s="17" t="s">
        <v>1502</v>
      </c>
      <c r="C51" s="17" t="s">
        <v>1393</v>
      </c>
      <c r="D51" s="17" t="n">
        <v>1120</v>
      </c>
      <c r="E51" s="17" t="n">
        <v>0</v>
      </c>
      <c r="F51" s="25" t="n">
        <v>0</v>
      </c>
      <c r="G51" s="17" t="n">
        <v>1086</v>
      </c>
      <c r="H51" s="17" t="n">
        <v>7.495</v>
      </c>
      <c r="I51" s="17" t="n">
        <v>99.82</v>
      </c>
      <c r="J51" s="17" t="s">
        <v>1505</v>
      </c>
      <c r="K51" s="17" t="s">
        <v>1506</v>
      </c>
    </row>
    <row r="52" customFormat="false" ht="42" hidden="false" customHeight="true" outlineLevel="0" collapsed="false">
      <c r="A52" s="17" t="s">
        <v>1015</v>
      </c>
      <c r="B52" s="17" t="s">
        <v>1502</v>
      </c>
      <c r="C52" s="17" t="s">
        <v>1393</v>
      </c>
      <c r="D52" s="17" t="n">
        <v>1120</v>
      </c>
      <c r="E52" s="17" t="n">
        <v>0</v>
      </c>
      <c r="F52" s="25" t="n">
        <v>0</v>
      </c>
      <c r="G52" s="17" t="n">
        <v>289</v>
      </c>
      <c r="H52" s="17" t="n">
        <v>0.0118</v>
      </c>
      <c r="I52" s="17" t="n">
        <v>0.2941</v>
      </c>
      <c r="J52" s="17" t="s">
        <v>1507</v>
      </c>
      <c r="K52" s="17" t="s">
        <v>1508</v>
      </c>
    </row>
    <row r="53" customFormat="false" ht="42" hidden="false" customHeight="true" outlineLevel="0" collapsed="false">
      <c r="A53" s="17" t="s">
        <v>1018</v>
      </c>
      <c r="B53" s="17" t="s">
        <v>1502</v>
      </c>
      <c r="C53" s="17" t="s">
        <v>1393</v>
      </c>
      <c r="D53" s="17" t="n">
        <v>1120</v>
      </c>
      <c r="E53" s="17" t="n">
        <v>0</v>
      </c>
      <c r="F53" s="25" t="n">
        <v>0</v>
      </c>
      <c r="G53" s="17" t="n">
        <v>66</v>
      </c>
      <c r="H53" s="17" t="n">
        <v>0</v>
      </c>
      <c r="I53" s="17" t="n">
        <v>81</v>
      </c>
      <c r="J53" s="17" t="s">
        <v>1509</v>
      </c>
      <c r="K53" s="17" t="s">
        <v>1510</v>
      </c>
    </row>
    <row r="54" customFormat="false" ht="42" hidden="false" customHeight="true" outlineLevel="0" collapsed="false">
      <c r="A54" s="17" t="s">
        <v>1021</v>
      </c>
      <c r="B54" s="17" t="s">
        <v>1502</v>
      </c>
      <c r="C54" s="17" t="s">
        <v>1393</v>
      </c>
      <c r="D54" s="17" t="n">
        <v>1120</v>
      </c>
      <c r="E54" s="17" t="n">
        <v>0</v>
      </c>
      <c r="F54" s="25" t="n">
        <v>0</v>
      </c>
      <c r="G54" s="17" t="n">
        <v>495</v>
      </c>
      <c r="H54" s="17" t="n">
        <v>1</v>
      </c>
      <c r="I54" s="17" t="n">
        <v>100</v>
      </c>
      <c r="J54" s="17" t="s">
        <v>1394</v>
      </c>
      <c r="K54" s="17" t="s">
        <v>1511</v>
      </c>
    </row>
    <row r="55" customFormat="false" ht="42" hidden="false" customHeight="true" outlineLevel="0" collapsed="false">
      <c r="A55" s="17" t="s">
        <v>1024</v>
      </c>
      <c r="B55" s="17" t="s">
        <v>1502</v>
      </c>
      <c r="C55" s="17" t="s">
        <v>1393</v>
      </c>
      <c r="D55" s="17" t="n">
        <v>1120</v>
      </c>
      <c r="E55" s="17" t="n">
        <v>0</v>
      </c>
      <c r="F55" s="25" t="n">
        <v>0</v>
      </c>
      <c r="G55" s="17" t="n">
        <v>1091</v>
      </c>
      <c r="H55" s="17" t="n">
        <v>7.535</v>
      </c>
      <c r="I55" s="17" t="n">
        <v>98.615</v>
      </c>
      <c r="J55" s="17" t="s">
        <v>1512</v>
      </c>
      <c r="K55" s="17" t="s">
        <v>1513</v>
      </c>
    </row>
  </sheetData>
  <mergeCells count="2">
    <mergeCell ref="A1:K1"/>
    <mergeCell ref="A2:K2"/>
  </mergeCells>
  <conditionalFormatting sqref="B6:B55">
    <cfRule type="containsText" priority="2" operator="containsText" aboveAverage="0" equalAverage="0" bottom="0" percent="0" rank="0" text="Derived KPI" dxfId="69">
      <formula>NOT(ISERROR(SEARCH("Derived KPI",B6)))</formula>
    </cfRule>
    <cfRule type="containsText" priority="3" operator="containsText" aboveAverage="0" equalAverage="0" bottom="0" percent="0" rank="0" text="Derived normalized" dxfId="70">
      <formula>NOT(ISERROR(SEARCH("Derived normalized",B6)))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38"/>
  </cols>
  <sheetData>
    <row r="1" customFormat="false" ht="32" hidden="false" customHeight="true" outlineLevel="0" collapsed="false">
      <c r="A1" s="1" t="s">
        <v>1514</v>
      </c>
      <c r="B1" s="1"/>
      <c r="C1" s="1"/>
      <c r="D1" s="1"/>
      <c r="E1" s="1"/>
      <c r="F1" s="1"/>
      <c r="G1" s="1"/>
    </row>
    <row r="2" customFormat="false" ht="28" hidden="false" customHeight="true" outlineLevel="0" collapsed="false">
      <c r="A2" s="2" t="s">
        <v>1515</v>
      </c>
      <c r="B2" s="2"/>
      <c r="C2" s="2"/>
      <c r="D2" s="2"/>
      <c r="E2" s="2"/>
      <c r="F2" s="2"/>
      <c r="G2" s="2"/>
    </row>
    <row r="5" customFormat="false" ht="30" hidden="false" customHeight="true" outlineLevel="0" collapsed="false">
      <c r="A5" s="12" t="s">
        <v>1516</v>
      </c>
      <c r="B5" s="13" t="s">
        <v>1517</v>
      </c>
      <c r="C5" s="13" t="s">
        <v>57</v>
      </c>
      <c r="D5" s="13" t="s">
        <v>1518</v>
      </c>
      <c r="E5" s="13" t="s">
        <v>1519</v>
      </c>
      <c r="F5" s="13" t="s">
        <v>1520</v>
      </c>
      <c r="G5" s="14" t="s">
        <v>1521</v>
      </c>
    </row>
    <row r="6" customFormat="false" ht="40" hidden="false" customHeight="true" outlineLevel="0" collapsed="false">
      <c r="A6" s="15" t="s">
        <v>1522</v>
      </c>
      <c r="B6" s="15" t="s">
        <v>1523</v>
      </c>
      <c r="C6" s="15" t="s">
        <v>1524</v>
      </c>
      <c r="D6" s="15" t="s">
        <v>1525</v>
      </c>
      <c r="E6" s="15" t="s">
        <v>1526</v>
      </c>
      <c r="F6" s="15" t="s">
        <v>1527</v>
      </c>
      <c r="G6" s="15" t="s">
        <v>1528</v>
      </c>
    </row>
    <row r="7" customFormat="false" ht="40" hidden="false" customHeight="true" outlineLevel="0" collapsed="false">
      <c r="A7" s="17" t="s">
        <v>1529</v>
      </c>
      <c r="B7" s="17" t="s">
        <v>1530</v>
      </c>
      <c r="C7" s="17" t="s">
        <v>68</v>
      </c>
      <c r="D7" s="17" t="s">
        <v>1531</v>
      </c>
      <c r="E7" s="17" t="s">
        <v>1532</v>
      </c>
      <c r="F7" s="17" t="s">
        <v>1533</v>
      </c>
      <c r="G7" s="17" t="s">
        <v>1534</v>
      </c>
    </row>
    <row r="8" customFormat="false" ht="40" hidden="false" customHeight="true" outlineLevel="0" collapsed="false">
      <c r="A8" s="17" t="s">
        <v>1535</v>
      </c>
      <c r="B8" s="17" t="s">
        <v>1536</v>
      </c>
      <c r="C8" s="17" t="s">
        <v>68</v>
      </c>
      <c r="D8" s="17" t="s">
        <v>1537</v>
      </c>
      <c r="E8" s="17" t="s">
        <v>1538</v>
      </c>
      <c r="F8" s="17" t="s">
        <v>1533</v>
      </c>
      <c r="G8" s="17" t="s">
        <v>1534</v>
      </c>
    </row>
    <row r="9" customFormat="false" ht="40" hidden="false" customHeight="true" outlineLevel="0" collapsed="false">
      <c r="A9" s="17" t="s">
        <v>1539</v>
      </c>
      <c r="B9" s="17" t="s">
        <v>1540</v>
      </c>
      <c r="C9" s="17" t="s">
        <v>68</v>
      </c>
      <c r="D9" s="17" t="s">
        <v>1541</v>
      </c>
      <c r="E9" s="17" t="s">
        <v>1532</v>
      </c>
      <c r="F9" s="17" t="s">
        <v>1533</v>
      </c>
      <c r="G9" s="17" t="s">
        <v>1534</v>
      </c>
    </row>
    <row r="10" customFormat="false" ht="40" hidden="false" customHeight="true" outlineLevel="0" collapsed="false">
      <c r="A10" s="17" t="s">
        <v>1542</v>
      </c>
      <c r="B10" s="17" t="s">
        <v>1543</v>
      </c>
      <c r="C10" s="17" t="s">
        <v>68</v>
      </c>
      <c r="D10" s="17" t="s">
        <v>1544</v>
      </c>
      <c r="E10" s="17" t="s">
        <v>1545</v>
      </c>
      <c r="F10" s="17" t="s">
        <v>1546</v>
      </c>
      <c r="G10" s="17" t="s">
        <v>1547</v>
      </c>
    </row>
    <row r="11" customFormat="false" ht="40" hidden="false" customHeight="true" outlineLevel="0" collapsed="false">
      <c r="A11" s="17" t="s">
        <v>1548</v>
      </c>
      <c r="B11" s="17" t="s">
        <v>1549</v>
      </c>
      <c r="C11" s="17" t="s">
        <v>68</v>
      </c>
      <c r="D11" s="17" t="s">
        <v>1550</v>
      </c>
      <c r="E11" s="17" t="s">
        <v>1551</v>
      </c>
      <c r="F11" s="17" t="s">
        <v>1552</v>
      </c>
      <c r="G11" s="17" t="s">
        <v>1547</v>
      </c>
    </row>
    <row r="12" customFormat="false" ht="40" hidden="false" customHeight="true" outlineLevel="0" collapsed="false">
      <c r="A12" s="17" t="s">
        <v>1553</v>
      </c>
      <c r="B12" s="17" t="s">
        <v>1554</v>
      </c>
      <c r="C12" s="17" t="s">
        <v>1555</v>
      </c>
      <c r="D12" s="17" t="s">
        <v>1556</v>
      </c>
      <c r="E12" s="17" t="s">
        <v>1551</v>
      </c>
      <c r="F12" s="17" t="s">
        <v>1552</v>
      </c>
      <c r="G12" s="17" t="s">
        <v>1557</v>
      </c>
    </row>
    <row r="13" customFormat="false" ht="40" hidden="false" customHeight="true" outlineLevel="0" collapsed="false">
      <c r="A13" s="17" t="s">
        <v>1558</v>
      </c>
      <c r="B13" s="17" t="s">
        <v>1559</v>
      </c>
      <c r="C13" s="17" t="s">
        <v>1555</v>
      </c>
      <c r="D13" s="17" t="s">
        <v>1560</v>
      </c>
      <c r="E13" s="17" t="s">
        <v>1551</v>
      </c>
      <c r="F13" s="17" t="s">
        <v>1552</v>
      </c>
      <c r="G13" s="17" t="s">
        <v>1557</v>
      </c>
    </row>
    <row r="14" customFormat="false" ht="40" hidden="false" customHeight="true" outlineLevel="0" collapsed="false">
      <c r="A14" s="17" t="s">
        <v>1561</v>
      </c>
      <c r="B14" s="17" t="s">
        <v>1341</v>
      </c>
      <c r="C14" s="17" t="s">
        <v>1555</v>
      </c>
      <c r="D14" s="17" t="s">
        <v>1562</v>
      </c>
      <c r="E14" s="17" t="s">
        <v>1563</v>
      </c>
      <c r="F14" s="17" t="s">
        <v>1564</v>
      </c>
      <c r="G14" s="17" t="s">
        <v>1557</v>
      </c>
    </row>
    <row r="15" customFormat="false" ht="40" hidden="false" customHeight="true" outlineLevel="0" collapsed="false">
      <c r="A15" s="17" t="s">
        <v>1565</v>
      </c>
      <c r="B15" s="17" t="s">
        <v>1566</v>
      </c>
      <c r="C15" s="17" t="s">
        <v>1555</v>
      </c>
      <c r="D15" s="17" t="s">
        <v>1567</v>
      </c>
      <c r="E15" s="17" t="s">
        <v>1551</v>
      </c>
      <c r="F15" s="17" t="s">
        <v>1552</v>
      </c>
      <c r="G15" s="17" t="s">
        <v>1557</v>
      </c>
    </row>
    <row r="16" customFormat="false" ht="40" hidden="false" customHeight="true" outlineLevel="0" collapsed="false">
      <c r="A16" s="17" t="s">
        <v>1568</v>
      </c>
      <c r="B16" s="17" t="s">
        <v>1569</v>
      </c>
      <c r="C16" s="17" t="s">
        <v>1570</v>
      </c>
      <c r="D16" s="17" t="s">
        <v>1571</v>
      </c>
      <c r="E16" s="17" t="s">
        <v>1572</v>
      </c>
      <c r="F16" s="17" t="s">
        <v>1573</v>
      </c>
      <c r="G16" s="17" t="s">
        <v>1574</v>
      </c>
    </row>
    <row r="17" customFormat="false" ht="40" hidden="false" customHeight="true" outlineLevel="0" collapsed="false">
      <c r="A17" s="17" t="s">
        <v>1575</v>
      </c>
      <c r="B17" s="17" t="s">
        <v>1576</v>
      </c>
      <c r="C17" s="17" t="s">
        <v>1555</v>
      </c>
      <c r="D17" s="17" t="s">
        <v>1577</v>
      </c>
      <c r="E17" s="17" t="s">
        <v>1578</v>
      </c>
      <c r="F17" s="17" t="s">
        <v>1579</v>
      </c>
      <c r="G17" s="17" t="s">
        <v>1580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0"/>
  </cols>
  <sheetData>
    <row r="1" customFormat="false" ht="32" hidden="false" customHeight="true" outlineLevel="0" collapsed="false">
      <c r="A1" s="1" t="s">
        <v>1581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1582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2" t="s">
        <v>1237</v>
      </c>
      <c r="B4" s="13" t="s">
        <v>993</v>
      </c>
      <c r="C4" s="13" t="s">
        <v>1583</v>
      </c>
      <c r="D4" s="14" t="s">
        <v>64</v>
      </c>
    </row>
    <row r="5" customFormat="false" ht="39.55" hidden="false" customHeight="false" outlineLevel="0" collapsed="false">
      <c r="A5" s="15" t="s">
        <v>1584</v>
      </c>
      <c r="B5" s="15" t="s">
        <v>1585</v>
      </c>
      <c r="C5" s="15" t="s">
        <v>1586</v>
      </c>
      <c r="D5" s="15" t="s">
        <v>74</v>
      </c>
    </row>
    <row r="6" customFormat="false" ht="26.85" hidden="false" customHeight="false" outlineLevel="0" collapsed="false">
      <c r="A6" s="17" t="s">
        <v>1587</v>
      </c>
      <c r="B6" s="17" t="s">
        <v>1588</v>
      </c>
      <c r="C6" s="17" t="s">
        <v>1248</v>
      </c>
      <c r="D6" s="17" t="s">
        <v>74</v>
      </c>
    </row>
    <row r="7" customFormat="false" ht="26.85" hidden="false" customHeight="false" outlineLevel="0" collapsed="false">
      <c r="A7" s="17" t="s">
        <v>1589</v>
      </c>
      <c r="B7" s="17" t="s">
        <v>1590</v>
      </c>
      <c r="C7" s="17" t="s">
        <v>1591</v>
      </c>
      <c r="D7" s="17" t="s">
        <v>74</v>
      </c>
    </row>
    <row r="8" customFormat="false" ht="26.85" hidden="false" customHeight="false" outlineLevel="0" collapsed="false">
      <c r="A8" s="17" t="s">
        <v>1592</v>
      </c>
      <c r="B8" s="17" t="s">
        <v>1593</v>
      </c>
      <c r="C8" s="17" t="s">
        <v>1594</v>
      </c>
      <c r="D8" s="17" t="s">
        <v>74</v>
      </c>
    </row>
    <row r="9" customFormat="false" ht="26.85" hidden="false" customHeight="false" outlineLevel="0" collapsed="false">
      <c r="A9" s="17" t="s">
        <v>1595</v>
      </c>
      <c r="B9" s="17" t="s">
        <v>1596</v>
      </c>
      <c r="C9" s="17" t="s">
        <v>1597</v>
      </c>
      <c r="D9" s="17" t="s">
        <v>74</v>
      </c>
    </row>
    <row r="10" customFormat="false" ht="26.85" hidden="false" customHeight="false" outlineLevel="0" collapsed="false">
      <c r="A10" s="17" t="s">
        <v>1598</v>
      </c>
      <c r="B10" s="17" t="s">
        <v>1599</v>
      </c>
      <c r="C10" s="17" t="s">
        <v>1600</v>
      </c>
      <c r="D10" s="17" t="s">
        <v>74</v>
      </c>
    </row>
    <row r="11" customFormat="false" ht="15" hidden="false" customHeight="false" outlineLevel="0" collapsed="false">
      <c r="A11" s="17" t="s">
        <v>1601</v>
      </c>
      <c r="B11" s="17" t="s">
        <v>1602</v>
      </c>
      <c r="C11" s="17" t="s">
        <v>164</v>
      </c>
      <c r="D11" s="17" t="s">
        <v>74</v>
      </c>
    </row>
    <row r="12" customFormat="false" ht="39.55" hidden="false" customHeight="false" outlineLevel="0" collapsed="false">
      <c r="A12" s="17" t="s">
        <v>49</v>
      </c>
      <c r="B12" s="17" t="s">
        <v>1603</v>
      </c>
      <c r="C12" s="17" t="s">
        <v>1604</v>
      </c>
      <c r="D12" s="17" t="s">
        <v>74</v>
      </c>
    </row>
    <row r="15" customFormat="false" ht="15" hidden="false" customHeight="false" outlineLevel="0" collapsed="false">
      <c r="A15" s="26" t="s">
        <v>1605</v>
      </c>
      <c r="B15" s="26"/>
      <c r="C15" s="26"/>
      <c r="D15" s="26"/>
      <c r="E15" s="26"/>
      <c r="F15" s="26"/>
      <c r="G15" s="26"/>
      <c r="H15" s="26"/>
    </row>
    <row r="17" customFormat="false" ht="15" hidden="false" customHeight="false" outlineLevel="0" collapsed="false">
      <c r="A17" s="27" t="s">
        <v>1606</v>
      </c>
      <c r="B17" s="27"/>
      <c r="D17" s="27" t="s">
        <v>1607</v>
      </c>
      <c r="E17" s="27"/>
      <c r="G17" s="27" t="s">
        <v>1608</v>
      </c>
      <c r="H17" s="27"/>
    </row>
    <row r="19" customFormat="false" ht="15" hidden="false" customHeight="false" outlineLevel="0" collapsed="false">
      <c r="A19" s="27" t="s">
        <v>1609</v>
      </c>
      <c r="B19" s="27" t="s">
        <v>1610</v>
      </c>
      <c r="D19" s="27" t="s">
        <v>1611</v>
      </c>
      <c r="E19" s="27"/>
      <c r="G19" s="27" t="s">
        <v>1612</v>
      </c>
      <c r="H19" s="27" t="s">
        <v>1613</v>
      </c>
    </row>
    <row r="22" customFormat="false" ht="15" hidden="false" customHeight="true" outlineLevel="0" collapsed="false">
      <c r="A22" s="28" t="s">
        <v>1614</v>
      </c>
      <c r="B22" s="28"/>
      <c r="C22" s="28"/>
      <c r="D22" s="28"/>
      <c r="E22" s="28"/>
      <c r="F22" s="28"/>
      <c r="G22" s="28"/>
      <c r="H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8"/>
      <c r="H23" s="28"/>
    </row>
    <row r="24" customFormat="false" ht="15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</row>
  </sheetData>
  <mergeCells count="4">
    <mergeCell ref="A1:H1"/>
    <mergeCell ref="A2:H2"/>
    <mergeCell ref="A15:H15"/>
    <mergeCell ref="A22:H24"/>
  </mergeCells>
  <conditionalFormatting sqref="D5:D12">
    <cfRule type="containsText" priority="2" operator="containsText" aboveAverage="0" equalAverage="0" bottom="0" percent="0" rank="0" text="PASS" dxfId="71">
      <formula>NOT(ISERROR(SEARCH("PASS",D5)))</formula>
    </cfRule>
    <cfRule type="containsText" priority="3" operator="containsText" aboveAverage="0" equalAverage="0" bottom="0" percent="0" rank="0" text="APPROVED" dxfId="72">
      <formula>NOT(ISERROR(SEARCH("APPROVED",D5)))</formula>
    </cfRule>
    <cfRule type="containsText" priority="4" operator="containsText" aboveAverage="0" equalAverage="0" bottom="0" percent="0" rank="0" text="FAIL" dxfId="73">
      <formula>NOT(ISERROR(SEARCH("FAIL",D5)))</formula>
    </cfRule>
    <cfRule type="containsText" priority="5" operator="containsText" aboveAverage="0" equalAverage="0" bottom="0" percent="0" rank="0" text="BLOCKED" dxfId="74">
      <formula>NOT(ISERROR(SEARCH("BLOCKED",D5)))</formula>
    </cfRule>
    <cfRule type="containsText" priority="6" operator="containsText" aboveAverage="0" equalAverage="0" bottom="0" percent="0" rank="0" text="OPEN" dxfId="75">
      <formula>NOT(ISERROR(SEARCH("OPEN",D5)))</formula>
    </cfRule>
  </conditionalFormatting>
  <conditionalFormatting sqref="B19">
    <cfRule type="containsText" priority="7" operator="containsText" aboveAverage="0" equalAverage="0" bottom="0" percent="0" rank="0" text="PASS" dxfId="76">
      <formula>NOT(ISERROR(SEARCH("PASS",B19)))</formula>
    </cfRule>
    <cfRule type="containsText" priority="8" operator="containsText" aboveAverage="0" equalAverage="0" bottom="0" percent="0" rank="0" text="APPROVED" dxfId="77">
      <formula>NOT(ISERROR(SEARCH("APPROVED",B19)))</formula>
    </cfRule>
    <cfRule type="containsText" priority="9" operator="containsText" aboveAverage="0" equalAverage="0" bottom="0" percent="0" rank="0" text="FAIL" dxfId="78">
      <formula>NOT(ISERROR(SEARCH("FAIL",B19)))</formula>
    </cfRule>
    <cfRule type="containsText" priority="10" operator="containsText" aboveAverage="0" equalAverage="0" bottom="0" percent="0" rank="0" text="BLOCKED" dxfId="79">
      <formula>NOT(ISERROR(SEARCH("BLOCKED",B19)))</formula>
    </cfRule>
    <cfRule type="containsText" priority="11" operator="containsText" aboveAverage="0" equalAverage="0" bottom="0" percent="0" rank="0" text="OPEN" dxfId="80">
      <formula>NOT(ISERROR(SEARCH("OPEN",B19)))</formula>
    </cfRule>
  </conditionalFormatting>
  <dataValidations count="1">
    <dataValidation allowBlank="false" errorStyle="stop" operator="between" showDropDown="false" showErrorMessage="false" showInputMessage="false" sqref="B19" type="list">
      <formula1>"APPROVED,APPROVED WITH CONDITIONS,REJECTED"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